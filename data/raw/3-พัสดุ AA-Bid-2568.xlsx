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3501\Downloads\"/>
    </mc:Choice>
  </mc:AlternateContent>
  <xr:revisionPtr revIDLastSave="32" documentId="13_ncr:1_{81071D48-B36B-44F0-B6B8-8B06DA1BCFB7}" xr6:coauthVersionLast="47" xr6:coauthVersionMax="47" xr10:uidLastSave="{A31CC893-4C5D-4D9B-BCBB-C9E938D4210B}"/>
  <bookViews>
    <workbookView xWindow="0" yWindow="0" windowWidth="18557" windowHeight="6385" xr2:uid="{00000000-000D-0000-FFFF-FFFF00000000}"/>
  </bookViews>
  <sheets>
    <sheet name="2568" sheetId="7" r:id="rId1"/>
  </sheets>
  <definedNames>
    <definedName name="_xlnm._FilterDatabase" localSheetId="0" hidden="1">'2568'!$A$5:$AC$29</definedName>
    <definedName name="_xlnm.Print_Area" localSheetId="0">'2568'!$A$1:$AC$29</definedName>
    <definedName name="_xlnm.Print_Titles" localSheetId="0">'2568'!$1:$4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9" i="7" l="1"/>
  <c r="AE28" i="7"/>
  <c r="AE27" i="7"/>
  <c r="AC27" i="7"/>
  <c r="AB27" i="7"/>
  <c r="AA27" i="7"/>
  <c r="Z27" i="7"/>
  <c r="Y27" i="7"/>
  <c r="X27" i="7"/>
  <c r="W27" i="7"/>
  <c r="V27" i="7"/>
  <c r="U27" i="7"/>
  <c r="T27" i="7"/>
  <c r="S27" i="7"/>
  <c r="H27" i="7"/>
  <c r="E27" i="7"/>
  <c r="AE26" i="7"/>
  <c r="F26" i="7"/>
  <c r="F25" i="7"/>
  <c r="AE24" i="7"/>
  <c r="AC24" i="7"/>
  <c r="AB24" i="7"/>
  <c r="AA24" i="7"/>
  <c r="Z24" i="7"/>
  <c r="Y24" i="7"/>
  <c r="X24" i="7"/>
  <c r="W24" i="7"/>
  <c r="V24" i="7"/>
  <c r="U24" i="7"/>
  <c r="T24" i="7"/>
  <c r="S24" i="7"/>
  <c r="H24" i="7"/>
  <c r="I24" i="7" s="1"/>
  <c r="E24" i="7"/>
  <c r="AE23" i="7"/>
  <c r="F23" i="7"/>
  <c r="AE22" i="7"/>
  <c r="F22" i="7"/>
  <c r="AC21" i="7"/>
  <c r="AB21" i="7"/>
  <c r="AA21" i="7"/>
  <c r="Z21" i="7"/>
  <c r="Y21" i="7"/>
  <c r="X21" i="7"/>
  <c r="W21" i="7"/>
  <c r="V21" i="7"/>
  <c r="U21" i="7"/>
  <c r="T21" i="7"/>
  <c r="S21" i="7"/>
  <c r="H21" i="7"/>
  <c r="I21" i="7" s="1"/>
  <c r="E21" i="7"/>
  <c r="AE21" i="7" s="1"/>
  <c r="AE20" i="7"/>
  <c r="F20" i="7"/>
  <c r="AE19" i="7"/>
  <c r="F19" i="7"/>
  <c r="AC18" i="7"/>
  <c r="AB18" i="7"/>
  <c r="AA18" i="7"/>
  <c r="Z18" i="7"/>
  <c r="Y18" i="7"/>
  <c r="X18" i="7"/>
  <c r="W18" i="7"/>
  <c r="V18" i="7"/>
  <c r="U18" i="7"/>
  <c r="T18" i="7"/>
  <c r="S18" i="7"/>
  <c r="H18" i="7"/>
  <c r="I18" i="7" s="1"/>
  <c r="E18" i="7"/>
  <c r="AE18" i="7" s="1"/>
  <c r="AE17" i="7"/>
  <c r="F17" i="7"/>
  <c r="AE16" i="7"/>
  <c r="F16" i="7"/>
  <c r="AC15" i="7"/>
  <c r="AB15" i="7"/>
  <c r="AA15" i="7"/>
  <c r="Z15" i="7"/>
  <c r="Y15" i="7"/>
  <c r="X15" i="7"/>
  <c r="W15" i="7"/>
  <c r="V15" i="7"/>
  <c r="U15" i="7"/>
  <c r="T15" i="7"/>
  <c r="S15" i="7"/>
  <c r="H15" i="7"/>
  <c r="I15" i="7" s="1"/>
  <c r="E15" i="7"/>
  <c r="AE15" i="7" s="1"/>
  <c r="AE14" i="7"/>
  <c r="F14" i="7"/>
  <c r="AE13" i="7"/>
  <c r="F13" i="7"/>
  <c r="AC11" i="7"/>
  <c r="AB11" i="7"/>
  <c r="AA11" i="7"/>
  <c r="Z11" i="7"/>
  <c r="Y11" i="7"/>
  <c r="X11" i="7"/>
  <c r="W11" i="7"/>
  <c r="V11" i="7"/>
  <c r="U11" i="7"/>
  <c r="T11" i="7"/>
  <c r="S11" i="7"/>
  <c r="H11" i="7"/>
  <c r="E11" i="7"/>
  <c r="AE10" i="7"/>
  <c r="AE9" i="7"/>
  <c r="F9" i="7"/>
  <c r="AC8" i="7"/>
  <c r="AC12" i="7" s="1"/>
  <c r="AB8" i="7"/>
  <c r="AB12" i="7" s="1"/>
  <c r="AA8" i="7"/>
  <c r="AA12" i="7" s="1"/>
  <c r="Z8" i="7"/>
  <c r="Z12" i="7" s="1"/>
  <c r="Y8" i="7"/>
  <c r="X8" i="7"/>
  <c r="W8" i="7"/>
  <c r="V8" i="7"/>
  <c r="U8" i="7"/>
  <c r="T8" i="7"/>
  <c r="S8" i="7"/>
  <c r="S12" i="7" s="1"/>
  <c r="H8" i="7"/>
  <c r="I8" i="7" s="1"/>
  <c r="E8" i="7"/>
  <c r="AE8" i="7" s="1"/>
  <c r="AE7" i="7"/>
  <c r="AE6" i="7"/>
  <c r="F6" i="7"/>
  <c r="E12" i="7" l="1"/>
  <c r="I11" i="7"/>
  <c r="H12" i="7"/>
  <c r="I12" i="7" s="1"/>
  <c r="T12" i="7"/>
  <c r="U12" i="7"/>
  <c r="V12" i="7"/>
  <c r="W12" i="7"/>
  <c r="X12" i="7"/>
  <c r="Y12" i="7"/>
  <c r="H28" i="7"/>
  <c r="AE11" i="7"/>
  <c r="I27" i="7"/>
  <c r="I28" i="7" s="1"/>
  <c r="AE12" i="7" l="1"/>
</calcChain>
</file>

<file path=xl/sharedStrings.xml><?xml version="1.0" encoding="utf-8"?>
<sst xmlns="http://schemas.openxmlformats.org/spreadsheetml/2006/main" count="108" uniqueCount="66">
  <si>
    <t>แผนดำเนินการจัดหาพัสดุหลักปี 2568</t>
  </si>
  <si>
    <t>ที่</t>
  </si>
  <si>
    <t>รหัส</t>
  </si>
  <si>
    <t>ราคา/หน่วย</t>
  </si>
  <si>
    <t>งบประมาณรวม VAT</t>
  </si>
  <si>
    <t>คาดการณ์คงคลัง</t>
  </si>
  <si>
    <t>ประกวดราคา</t>
  </si>
  <si>
    <t>กำลังการผลิตต่ำสุด 2566</t>
  </si>
  <si>
    <t>กำลังการผลิต 2567</t>
  </si>
  <si>
    <t>ความต้องการ</t>
  </si>
  <si>
    <t>Bid No.</t>
  </si>
  <si>
    <t>งบ / โครงการ</t>
  </si>
  <si>
    <t>จำนวน</t>
  </si>
  <si>
    <t>ราคากลาง</t>
  </si>
  <si>
    <t>วงเงินงบประมาณ</t>
  </si>
  <si>
    <t>(31 มี.ค.67)</t>
  </si>
  <si>
    <t>+ประมาณการ</t>
  </si>
  <si>
    <t>ใช้งานต่อเดือน</t>
  </si>
  <si>
    <t>ปี 2567</t>
  </si>
  <si>
    <t>ปี 2568</t>
  </si>
  <si>
    <t>(เครื่อง)</t>
  </si>
  <si>
    <t>+สัญญา</t>
  </si>
  <si>
    <t>จัดหา</t>
  </si>
  <si>
    <t>ต.ค.</t>
  </si>
  <si>
    <t>พ.ย.</t>
  </si>
  <si>
    <t>ธ.ค.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</si>
  <si>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</si>
  <si>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</si>
  <si>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</si>
  <si>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</si>
  <si>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</si>
  <si>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</si>
  <si>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</si>
  <si>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</si>
  <si>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</si>
  <si>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1</t>
  </si>
  <si>
    <t>00011</t>
  </si>
  <si>
    <t>กกก-AA-001.1-2568</t>
  </si>
  <si>
    <t>Z151A</t>
  </si>
  <si>
    <t>200 - 2,000</t>
  </si>
  <si>
    <t>แจกแบบ-เสนอราคา</t>
  </si>
  <si>
    <t>อนุมัติ</t>
  </si>
  <si>
    <t>สัญญา</t>
  </si>
  <si>
    <t>รวม 001.1</t>
  </si>
  <si>
    <t>กกก-AA-001.2-2568</t>
  </si>
  <si>
    <t>Z152A</t>
  </si>
  <si>
    <t>รวม 001.2</t>
  </si>
  <si>
    <t>รวม Bid Group</t>
  </si>
  <si>
    <t>2</t>
  </si>
  <si>
    <t>00206</t>
  </si>
  <si>
    <t>กกก-AA-002-2568</t>
  </si>
  <si>
    <t>300 - 2,000</t>
  </si>
  <si>
    <t>รวม 1 Bid</t>
  </si>
  <si>
    <t>3</t>
  </si>
  <si>
    <t>10066</t>
  </si>
  <si>
    <t>กกก-AA-003-2568</t>
  </si>
  <si>
    <t>240 - 1,000</t>
  </si>
  <si>
    <t>(รก.ที่ 1/2)</t>
  </si>
  <si>
    <t>4</t>
  </si>
  <si>
    <t>10067</t>
  </si>
  <si>
    <t>(รก.ที่ 2/2)</t>
  </si>
  <si>
    <t>5</t>
  </si>
  <si>
    <t>กกก-AA-004-2568</t>
  </si>
  <si>
    <t>220 - 1,000</t>
  </si>
  <si>
    <t>6</t>
  </si>
  <si>
    <t>200 - 1,000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</si>
</sst>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_ ;\-#,##0\ "/>
    <numFmt numFmtId="166" formatCode="_-* #,##0_-;\-* #,##0_-;_-* &quot;-&quot;??_-;_-@_-"/>
  </numFmts>
  <fonts count="24">
    <font>
      <sz val="14"/>
      <name val="Cordia New"/>
      <charset val="222"/>
    </font>
    <font>
      <b/>
      <sz val="30"/>
      <name val="TH SarabunPSK"/>
      <family val="2"/>
    </font>
    <font>
      <sz val="14"/>
      <name val="Cordia New"/>
      <family val="2"/>
    </font>
    <font>
      <sz val="30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4.5"/>
      <name val="TH SarabunPSK"/>
      <family val="2"/>
    </font>
    <font>
      <b/>
      <sz val="16"/>
      <color rgb="FFC00000"/>
      <name val="TH SarabunPSK"/>
      <family val="2"/>
    </font>
    <font>
      <b/>
      <sz val="30"/>
      <color rgb="FFC00000"/>
      <name val="TH SarabunPSK"/>
      <family val="2"/>
    </font>
    <font>
      <sz val="30"/>
      <color rgb="FFC00000"/>
      <name val="TH SarabunPSK"/>
      <family val="2"/>
    </font>
    <font>
      <sz val="16"/>
      <color rgb="FFC00000"/>
      <name val="TH SarabunPSK"/>
      <family val="2"/>
    </font>
    <font>
      <sz val="16"/>
      <color theme="0" tint="-0.34998626667073579"/>
      <name val="TH SarabunPSK"/>
      <family val="2"/>
    </font>
    <font>
      <b/>
      <sz val="14"/>
      <color rgb="FFC00000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sz val="14"/>
      <color rgb="FFC00000"/>
      <name val="TH SarabunPSK"/>
      <family val="2"/>
    </font>
    <font>
      <sz val="16"/>
      <color rgb="FF0070C0"/>
      <name val="TH SarabunPSK"/>
      <family val="2"/>
    </font>
    <font>
      <b/>
      <sz val="14"/>
      <color theme="5" tint="-0.499984740745262"/>
      <name val="TH SarabunPSK"/>
      <family val="2"/>
    </font>
    <font>
      <sz val="14"/>
      <color theme="5" tint="-0.499984740745262"/>
      <name val="TH SarabunPSK"/>
      <family val="2"/>
    </font>
    <font>
      <sz val="15"/>
      <color rgb="FF0070C0"/>
      <name val="TH SarabunPSK"/>
      <family val="2"/>
    </font>
    <font>
      <b/>
      <sz val="16"/>
      <color theme="5"/>
      <name val="TH SarabunPSK"/>
      <family val="2"/>
    </font>
    <font>
      <sz val="15"/>
      <name val="TH SarabunPSK"/>
      <family val="2"/>
    </font>
    <font>
      <b/>
      <sz val="15"/>
      <color rgb="FF0070C0"/>
      <name val="TH SarabunPSK"/>
      <family val="2"/>
    </font>
    <font>
      <b/>
      <sz val="16"/>
      <color rgb="FF0070C0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8E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29">
    <xf numFmtId="0" fontId="0" fillId="0" borderId="0" xfId="0"/>
    <xf numFmtId="49" fontId="5" fillId="0" borderId="7" xfId="0" quotePrefix="1" applyNumberFormat="1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164" fontId="5" fillId="0" borderId="9" xfId="1" applyFont="1" applyFill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166" fontId="4" fillId="0" borderId="22" xfId="1" applyNumberFormat="1" applyFont="1" applyFill="1" applyBorder="1" applyAlignment="1">
      <alignment horizontal="center" vertical="top"/>
    </xf>
    <xf numFmtId="49" fontId="5" fillId="0" borderId="12" xfId="0" applyNumberFormat="1" applyFont="1" applyBorder="1" applyAlignment="1">
      <alignment horizontal="center" vertical="top"/>
    </xf>
    <xf numFmtId="49" fontId="5" fillId="0" borderId="1" xfId="0" applyNumberFormat="1" applyFont="1" applyBorder="1" applyAlignment="1">
      <alignment horizontal="center" vertical="top"/>
    </xf>
    <xf numFmtId="49" fontId="10" fillId="0" borderId="7" xfId="0" quotePrefix="1" applyNumberFormat="1" applyFont="1" applyBorder="1" applyAlignment="1">
      <alignment horizontal="center" vertical="top"/>
    </xf>
    <xf numFmtId="0" fontId="10" fillId="0" borderId="8" xfId="0" applyFont="1" applyBorder="1" applyAlignment="1">
      <alignment horizontal="center" vertical="top"/>
    </xf>
    <xf numFmtId="49" fontId="10" fillId="0" borderId="7" xfId="0" applyNumberFormat="1" applyFont="1" applyBorder="1" applyAlignment="1">
      <alignment horizontal="center" vertical="top"/>
    </xf>
    <xf numFmtId="49" fontId="10" fillId="0" borderId="12" xfId="0" applyNumberFormat="1" applyFont="1" applyBorder="1" applyAlignment="1">
      <alignment horizontal="center" vertical="top"/>
    </xf>
    <xf numFmtId="164" fontId="11" fillId="0" borderId="8" xfId="1" applyFont="1" applyFill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right" vertical="top"/>
    </xf>
    <xf numFmtId="164" fontId="12" fillId="0" borderId="0" xfId="1" applyFont="1" applyFill="1" applyBorder="1" applyAlignment="1">
      <alignment vertical="top"/>
    </xf>
    <xf numFmtId="164" fontId="8" fillId="0" borderId="0" xfId="1" applyFont="1" applyFill="1" applyBorder="1" applyAlignment="1">
      <alignment vertical="top"/>
    </xf>
    <xf numFmtId="0" fontId="1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0" fontId="4" fillId="3" borderId="4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65" fontId="4" fillId="3" borderId="2" xfId="1" applyNumberFormat="1" applyFont="1" applyFill="1" applyBorder="1" applyAlignment="1">
      <alignment horizontal="right" vertical="top"/>
    </xf>
    <xf numFmtId="164" fontId="13" fillId="3" borderId="5" xfId="1" applyFont="1" applyFill="1" applyBorder="1" applyAlignment="1">
      <alignment horizontal="center" vertical="center"/>
    </xf>
    <xf numFmtId="164" fontId="4" fillId="3" borderId="3" xfId="1" applyFont="1" applyFill="1" applyBorder="1" applyAlignment="1">
      <alignment horizontal="center" vertical="top"/>
    </xf>
    <xf numFmtId="166" fontId="4" fillId="3" borderId="4" xfId="1" applyNumberFormat="1" applyFont="1" applyFill="1" applyBorder="1" applyAlignment="1">
      <alignment horizontal="center" vertical="top"/>
    </xf>
    <xf numFmtId="1" fontId="4" fillId="3" borderId="3" xfId="1" applyNumberFormat="1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3" borderId="25" xfId="0" applyFont="1" applyFill="1" applyBorder="1" applyAlignment="1">
      <alignment horizontal="center" vertical="top"/>
    </xf>
    <xf numFmtId="0" fontId="4" fillId="3" borderId="8" xfId="0" applyFont="1" applyFill="1" applyBorder="1" applyAlignment="1">
      <alignment horizontal="center" vertical="top"/>
    </xf>
    <xf numFmtId="165" fontId="4" fillId="3" borderId="8" xfId="1" applyNumberFormat="1" applyFont="1" applyFill="1" applyBorder="1" applyAlignment="1">
      <alignment horizontal="center" vertical="top"/>
    </xf>
    <xf numFmtId="164" fontId="17" fillId="3" borderId="11" xfId="1" applyFont="1" applyFill="1" applyBorder="1" applyAlignment="1">
      <alignment horizontal="center" vertical="center"/>
    </xf>
    <xf numFmtId="164" fontId="4" fillId="3" borderId="9" xfId="1" applyFont="1" applyFill="1" applyBorder="1" applyAlignment="1">
      <alignment horizontal="center" vertical="top"/>
    </xf>
    <xf numFmtId="166" fontId="4" fillId="3" borderId="10" xfId="1" applyNumberFormat="1" applyFont="1" applyFill="1" applyBorder="1" applyAlignment="1">
      <alignment horizontal="center" vertical="top"/>
    </xf>
    <xf numFmtId="0" fontId="4" fillId="3" borderId="8" xfId="0" quotePrefix="1" applyFont="1" applyFill="1" applyBorder="1" applyAlignment="1">
      <alignment horizontal="center" vertical="top"/>
    </xf>
    <xf numFmtId="1" fontId="4" fillId="3" borderId="9" xfId="1" applyNumberFormat="1" applyFont="1" applyFill="1" applyBorder="1" applyAlignment="1">
      <alignment horizontal="center" vertical="top"/>
    </xf>
    <xf numFmtId="166" fontId="4" fillId="3" borderId="39" xfId="1" applyNumberFormat="1" applyFont="1" applyFill="1" applyBorder="1" applyAlignment="1">
      <alignment vertical="top"/>
    </xf>
    <xf numFmtId="0" fontId="4" fillId="3" borderId="30" xfId="0" applyFont="1" applyFill="1" applyBorder="1" applyAlignment="1">
      <alignment horizontal="center" vertical="top"/>
    </xf>
    <xf numFmtId="0" fontId="4" fillId="3" borderId="13" xfId="0" applyFont="1" applyFill="1" applyBorder="1" applyAlignment="1">
      <alignment horizontal="center" vertical="top"/>
    </xf>
    <xf numFmtId="165" fontId="4" fillId="3" borderId="13" xfId="1" applyNumberFormat="1" applyFont="1" applyFill="1" applyBorder="1" applyAlignment="1">
      <alignment horizontal="center" vertical="top"/>
    </xf>
    <xf numFmtId="13" fontId="17" fillId="3" borderId="16" xfId="1" applyNumberFormat="1" applyFont="1" applyFill="1" applyBorder="1" applyAlignment="1">
      <alignment horizontal="center" vertical="center"/>
    </xf>
    <xf numFmtId="164" fontId="4" fillId="3" borderId="14" xfId="1" applyFont="1" applyFill="1" applyBorder="1" applyAlignment="1">
      <alignment horizontal="center" vertical="top"/>
    </xf>
    <xf numFmtId="166" fontId="4" fillId="3" borderId="15" xfId="1" quotePrefix="1" applyNumberFormat="1" applyFont="1" applyFill="1" applyBorder="1" applyAlignment="1">
      <alignment horizontal="center" vertical="top"/>
    </xf>
    <xf numFmtId="1" fontId="4" fillId="3" borderId="14" xfId="1" applyNumberFormat="1" applyFont="1" applyFill="1" applyBorder="1" applyAlignment="1">
      <alignment horizontal="center" vertical="top"/>
    </xf>
    <xf numFmtId="166" fontId="4" fillId="3" borderId="15" xfId="1" applyNumberFormat="1" applyFont="1" applyFill="1" applyBorder="1" applyAlignment="1">
      <alignment horizontal="center" vertical="top"/>
    </xf>
    <xf numFmtId="166" fontId="4" fillId="3" borderId="13" xfId="1" applyNumberFormat="1" applyFont="1" applyFill="1" applyBorder="1" applyAlignment="1">
      <alignment horizontal="center" vertical="top"/>
    </xf>
    <xf numFmtId="166" fontId="4" fillId="3" borderId="16" xfId="1" applyNumberFormat="1" applyFont="1" applyFill="1" applyBorder="1" applyAlignment="1">
      <alignment horizontal="center" vertical="top"/>
    </xf>
    <xf numFmtId="166" fontId="4" fillId="3" borderId="38" xfId="1" applyNumberFormat="1" applyFont="1" applyFill="1" applyBorder="1" applyAlignment="1">
      <alignment horizontal="center" vertical="top"/>
    </xf>
    <xf numFmtId="166" fontId="4" fillId="3" borderId="27" xfId="1" applyNumberFormat="1" applyFont="1" applyFill="1" applyBorder="1" applyAlignment="1">
      <alignment horizontal="center" vertical="top"/>
    </xf>
    <xf numFmtId="166" fontId="4" fillId="3" borderId="28" xfId="1" applyNumberFormat="1" applyFont="1" applyFill="1" applyBorder="1" applyAlignment="1">
      <alignment horizontal="center" vertical="top"/>
    </xf>
    <xf numFmtId="49" fontId="7" fillId="0" borderId="7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165" fontId="7" fillId="0" borderId="8" xfId="1" applyNumberFormat="1" applyFont="1" applyFill="1" applyBorder="1" applyAlignment="1">
      <alignment horizontal="right" vertical="top"/>
    </xf>
    <xf numFmtId="164" fontId="12" fillId="0" borderId="8" xfId="1" applyFont="1" applyFill="1" applyBorder="1" applyAlignment="1">
      <alignment horizontal="center" vertical="top"/>
    </xf>
    <xf numFmtId="164" fontId="17" fillId="0" borderId="11" xfId="1" applyFont="1" applyFill="1" applyBorder="1" applyAlignment="1">
      <alignment horizontal="center" vertical="top"/>
    </xf>
    <xf numFmtId="164" fontId="7" fillId="0" borderId="9" xfId="1" applyFont="1" applyFill="1" applyBorder="1" applyAlignment="1">
      <alignment horizontal="center" vertical="top"/>
    </xf>
    <xf numFmtId="164" fontId="7" fillId="4" borderId="25" xfId="1" applyFont="1" applyFill="1" applyBorder="1" applyAlignment="1">
      <alignment horizontal="center" vertical="top"/>
    </xf>
    <xf numFmtId="166" fontId="4" fillId="0" borderId="10" xfId="1" quotePrefix="1" applyNumberFormat="1" applyFont="1" applyFill="1" applyBorder="1" applyAlignment="1">
      <alignment horizontal="center" vertical="top"/>
    </xf>
    <xf numFmtId="166" fontId="4" fillId="0" borderId="8" xfId="1" applyNumberFormat="1" applyFont="1" applyFill="1" applyBorder="1" applyAlignment="1">
      <alignment horizontal="center" vertical="top"/>
    </xf>
    <xf numFmtId="164" fontId="7" fillId="0" borderId="8" xfId="1" applyFont="1" applyFill="1" applyBorder="1" applyAlignment="1">
      <alignment horizontal="center" vertical="top"/>
    </xf>
    <xf numFmtId="1" fontId="5" fillId="0" borderId="9" xfId="1" applyNumberFormat="1" applyFont="1" applyFill="1" applyBorder="1" applyAlignment="1">
      <alignment horizontal="center" vertical="top"/>
    </xf>
    <xf numFmtId="166" fontId="7" fillId="0" borderId="0" xfId="1" applyNumberFormat="1" applyFont="1" applyFill="1" applyBorder="1" applyAlignment="1">
      <alignment horizontal="center" vertical="top"/>
    </xf>
    <xf numFmtId="166" fontId="7" fillId="0" borderId="8" xfId="1" applyNumberFormat="1" applyFont="1" applyFill="1" applyBorder="1" applyAlignment="1">
      <alignment horizontal="center" vertical="top"/>
    </xf>
    <xf numFmtId="166" fontId="7" fillId="0" borderId="7" xfId="1" applyNumberFormat="1" applyFont="1" applyFill="1" applyBorder="1" applyAlignment="1">
      <alignment horizontal="center" vertical="top"/>
    </xf>
    <xf numFmtId="166" fontId="7" fillId="0" borderId="10" xfId="1" applyNumberFormat="1" applyFont="1" applyFill="1" applyBorder="1" applyAlignment="1">
      <alignment horizontal="center" vertical="top"/>
    </xf>
    <xf numFmtId="166" fontId="7" fillId="0" borderId="9" xfId="1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 wrapText="1"/>
    </xf>
    <xf numFmtId="165" fontId="5" fillId="0" borderId="8" xfId="1" applyNumberFormat="1" applyFont="1" applyFill="1" applyBorder="1" applyAlignment="1">
      <alignment horizontal="right" vertical="top"/>
    </xf>
    <xf numFmtId="164" fontId="14" fillId="0" borderId="8" xfId="1" applyFont="1" applyFill="1" applyBorder="1" applyAlignment="1">
      <alignment horizontal="center" vertical="top"/>
    </xf>
    <xf numFmtId="164" fontId="18" fillId="0" borderId="11" xfId="1" applyFont="1" applyFill="1" applyBorder="1" applyAlignment="1">
      <alignment horizontal="center" vertical="top"/>
    </xf>
    <xf numFmtId="164" fontId="5" fillId="4" borderId="25" xfId="1" applyFont="1" applyFill="1" applyBorder="1" applyAlignment="1">
      <alignment horizontal="center" vertical="top"/>
    </xf>
    <xf numFmtId="166" fontId="5" fillId="0" borderId="10" xfId="1" applyNumberFormat="1" applyFont="1" applyFill="1" applyBorder="1" applyAlignment="1">
      <alignment horizontal="center" vertical="top"/>
    </xf>
    <xf numFmtId="166" fontId="5" fillId="0" borderId="8" xfId="1" applyNumberFormat="1" applyFont="1" applyFill="1" applyBorder="1" applyAlignment="1">
      <alignment horizontal="center" vertical="top"/>
    </xf>
    <xf numFmtId="164" fontId="5" fillId="0" borderId="8" xfId="1" applyFont="1" applyFill="1" applyBorder="1" applyAlignment="1">
      <alignment horizontal="center" vertical="top"/>
    </xf>
    <xf numFmtId="166" fontId="19" fillId="0" borderId="10" xfId="1" applyNumberFormat="1" applyFont="1" applyFill="1" applyBorder="1" applyAlignment="1">
      <alignment horizontal="center" vertical="top"/>
    </xf>
    <xf numFmtId="166" fontId="16" fillId="0" borderId="11" xfId="1" applyNumberFormat="1" applyFont="1" applyFill="1" applyBorder="1" applyAlignment="1">
      <alignment horizontal="center" vertical="top"/>
    </xf>
    <xf numFmtId="166" fontId="16" fillId="0" borderId="7" xfId="1" applyNumberFormat="1" applyFont="1" applyFill="1" applyBorder="1" applyAlignment="1">
      <alignment horizontal="center" vertical="top"/>
    </xf>
    <xf numFmtId="166" fontId="5" fillId="0" borderId="9" xfId="1" applyNumberFormat="1" applyFont="1" applyFill="1" applyBorder="1" applyAlignment="1">
      <alignment horizontal="center" vertical="top"/>
    </xf>
    <xf numFmtId="0" fontId="10" fillId="0" borderId="0" xfId="0" applyFont="1" applyAlignment="1">
      <alignment vertical="top"/>
    </xf>
    <xf numFmtId="166" fontId="10" fillId="0" borderId="0" xfId="0" applyNumberFormat="1" applyFont="1" applyAlignment="1">
      <alignment vertical="top"/>
    </xf>
    <xf numFmtId="164" fontId="18" fillId="0" borderId="8" xfId="1" applyFont="1" applyFill="1" applyBorder="1" applyAlignment="1">
      <alignment horizontal="center" vertical="top"/>
    </xf>
    <xf numFmtId="166" fontId="14" fillId="0" borderId="10" xfId="1" applyNumberFormat="1" applyFont="1" applyFill="1" applyBorder="1" applyAlignment="1">
      <alignment horizontal="center" vertical="top"/>
    </xf>
    <xf numFmtId="164" fontId="20" fillId="0" borderId="8" xfId="1" applyFont="1" applyFill="1" applyBorder="1" applyAlignment="1">
      <alignment horizontal="center" vertical="top"/>
    </xf>
    <xf numFmtId="166" fontId="19" fillId="0" borderId="10" xfId="1" applyNumberFormat="1" applyFont="1" applyFill="1" applyBorder="1" applyAlignment="1">
      <alignment vertical="top"/>
    </xf>
    <xf numFmtId="166" fontId="16" fillId="0" borderId="8" xfId="1" applyNumberFormat="1" applyFont="1" applyFill="1" applyBorder="1" applyAlignment="1">
      <alignment horizontal="center" vertical="top"/>
    </xf>
    <xf numFmtId="166" fontId="16" fillId="0" borderId="9" xfId="1" applyNumberFormat="1" applyFont="1" applyFill="1" applyBorder="1" applyAlignment="1">
      <alignment horizontal="center" vertical="top"/>
    </xf>
    <xf numFmtId="0" fontId="5" fillId="0" borderId="8" xfId="0" applyFont="1" applyBorder="1" applyAlignment="1">
      <alignment vertical="top"/>
    </xf>
    <xf numFmtId="0" fontId="7" fillId="0" borderId="42" xfId="0" applyFont="1" applyBorder="1" applyAlignment="1">
      <alignment horizontal="center" vertical="top"/>
    </xf>
    <xf numFmtId="166" fontId="4" fillId="0" borderId="46" xfId="1" applyNumberFormat="1" applyFont="1" applyFill="1" applyBorder="1" applyAlignment="1">
      <alignment horizontal="center" vertical="top"/>
    </xf>
    <xf numFmtId="165" fontId="4" fillId="0" borderId="21" xfId="1" applyNumberFormat="1" applyFont="1" applyFill="1" applyBorder="1" applyAlignment="1">
      <alignment horizontal="right" vertical="top"/>
    </xf>
    <xf numFmtId="164" fontId="13" fillId="0" borderId="8" xfId="1" applyFont="1" applyFill="1" applyBorder="1" applyAlignment="1">
      <alignment horizontal="center" vertical="top"/>
    </xf>
    <xf numFmtId="164" fontId="17" fillId="0" borderId="8" xfId="1" applyFont="1" applyFill="1" applyBorder="1" applyAlignment="1">
      <alignment horizontal="center" vertical="top"/>
    </xf>
    <xf numFmtId="164" fontId="4" fillId="0" borderId="24" xfId="1" applyFont="1" applyFill="1" applyBorder="1" applyAlignment="1">
      <alignment horizontal="center" vertical="top"/>
    </xf>
    <xf numFmtId="164" fontId="4" fillId="4" borderId="42" xfId="1" applyFont="1" applyFill="1" applyBorder="1" applyAlignment="1">
      <alignment horizontal="center" vertical="top"/>
    </xf>
    <xf numFmtId="166" fontId="14" fillId="0" borderId="26" xfId="1" applyNumberFormat="1" applyFont="1" applyFill="1" applyBorder="1" applyAlignment="1">
      <alignment horizontal="center" vertical="top"/>
    </xf>
    <xf numFmtId="166" fontId="5" fillId="0" borderId="19" xfId="1" applyNumberFormat="1" applyFont="1" applyFill="1" applyBorder="1" applyAlignment="1">
      <alignment horizontal="center" vertical="top"/>
    </xf>
    <xf numFmtId="164" fontId="10" fillId="0" borderId="19" xfId="1" applyFont="1" applyFill="1" applyBorder="1" applyAlignment="1">
      <alignment horizontal="center" vertical="top"/>
    </xf>
    <xf numFmtId="1" fontId="14" fillId="0" borderId="20" xfId="1" applyNumberFormat="1" applyFont="1" applyFill="1" applyBorder="1" applyAlignment="1">
      <alignment horizontal="center" vertical="top"/>
    </xf>
    <xf numFmtId="166" fontId="6" fillId="0" borderId="18" xfId="1" applyNumberFormat="1" applyFont="1" applyFill="1" applyBorder="1" applyAlignment="1">
      <alignment horizontal="center" vertical="top"/>
    </xf>
    <xf numFmtId="166" fontId="5" fillId="0" borderId="20" xfId="1" applyNumberFormat="1" applyFont="1" applyFill="1" applyBorder="1" applyAlignment="1">
      <alignment horizontal="center" vertical="top"/>
    </xf>
    <xf numFmtId="166" fontId="5" fillId="4" borderId="22" xfId="1" applyNumberFormat="1" applyFont="1" applyFill="1" applyBorder="1" applyAlignment="1">
      <alignment horizontal="center" vertical="top"/>
    </xf>
    <xf numFmtId="166" fontId="4" fillId="4" borderId="21" xfId="1" applyNumberFormat="1" applyFont="1" applyFill="1" applyBorder="1" applyAlignment="1">
      <alignment horizontal="center" vertical="top"/>
    </xf>
    <xf numFmtId="166" fontId="4" fillId="4" borderId="24" xfId="1" applyNumberFormat="1" applyFont="1" applyFill="1" applyBorder="1" applyAlignment="1">
      <alignment horizontal="center" vertical="top"/>
    </xf>
    <xf numFmtId="166" fontId="4" fillId="0" borderId="47" xfId="1" applyNumberFormat="1" applyFont="1" applyFill="1" applyBorder="1" applyAlignment="1">
      <alignment horizontal="center" vertical="top"/>
    </xf>
    <xf numFmtId="165" fontId="4" fillId="0" borderId="34" xfId="1" applyNumberFormat="1" applyFont="1" applyFill="1" applyBorder="1" applyAlignment="1">
      <alignment horizontal="right" vertical="top"/>
    </xf>
    <xf numFmtId="164" fontId="4" fillId="0" borderId="43" xfId="1" applyFont="1" applyFill="1" applyBorder="1" applyAlignment="1">
      <alignment horizontal="center" vertical="top"/>
    </xf>
    <xf numFmtId="164" fontId="4" fillId="4" borderId="25" xfId="1" applyFont="1" applyFill="1" applyBorder="1" applyAlignment="1">
      <alignment horizontal="center" vertical="top"/>
    </xf>
    <xf numFmtId="164" fontId="10" fillId="0" borderId="8" xfId="1" applyFont="1" applyFill="1" applyBorder="1" applyAlignment="1">
      <alignment horizontal="center" vertical="top"/>
    </xf>
    <xf numFmtId="1" fontId="14" fillId="0" borderId="9" xfId="1" applyNumberFormat="1" applyFont="1" applyFill="1" applyBorder="1" applyAlignment="1">
      <alignment horizontal="center" vertical="top"/>
    </xf>
    <xf numFmtId="166" fontId="6" fillId="0" borderId="10" xfId="1" applyNumberFormat="1" applyFont="1" applyFill="1" applyBorder="1" applyAlignment="1">
      <alignment horizontal="center" vertical="top"/>
    </xf>
    <xf numFmtId="0" fontId="7" fillId="0" borderId="48" xfId="0" applyFont="1" applyBorder="1" applyAlignment="1">
      <alignment horizontal="center" vertical="top"/>
    </xf>
    <xf numFmtId="0" fontId="4" fillId="5" borderId="29" xfId="0" applyFont="1" applyFill="1" applyBorder="1" applyAlignment="1">
      <alignment horizontal="center" vertical="top" wrapText="1"/>
    </xf>
    <xf numFmtId="165" fontId="4" fillId="5" borderId="27" xfId="1" applyNumberFormat="1" applyFont="1" applyFill="1" applyBorder="1" applyAlignment="1">
      <alignment horizontal="right" vertical="top"/>
    </xf>
    <xf numFmtId="164" fontId="13" fillId="0" borderId="27" xfId="1" applyFont="1" applyFill="1" applyBorder="1" applyAlignment="1">
      <alignment horizontal="center" vertical="top"/>
    </xf>
    <xf numFmtId="164" fontId="17" fillId="0" borderId="27" xfId="1" applyFont="1" applyFill="1" applyBorder="1" applyAlignment="1">
      <alignment horizontal="center" vertical="top"/>
    </xf>
    <xf numFmtId="164" fontId="4" fillId="5" borderId="28" xfId="1" applyFont="1" applyFill="1" applyBorder="1" applyAlignment="1">
      <alignment horizontal="center" vertical="top"/>
    </xf>
    <xf numFmtId="164" fontId="4" fillId="5" borderId="48" xfId="1" applyFont="1" applyFill="1" applyBorder="1" applyAlignment="1">
      <alignment horizontal="center" vertical="top"/>
    </xf>
    <xf numFmtId="166" fontId="6" fillId="0" borderId="35" xfId="1" applyNumberFormat="1" applyFont="1" applyFill="1" applyBorder="1" applyAlignment="1">
      <alignment horizontal="center" vertical="top"/>
    </xf>
    <xf numFmtId="166" fontId="5" fillId="0" borderId="14" xfId="1" applyNumberFormat="1" applyFont="1" applyFill="1" applyBorder="1" applyAlignment="1">
      <alignment horizontal="center" vertical="top"/>
    </xf>
    <xf numFmtId="166" fontId="5" fillId="4" borderId="49" xfId="1" applyNumberFormat="1" applyFont="1" applyFill="1" applyBorder="1" applyAlignment="1">
      <alignment horizontal="center" vertical="top"/>
    </xf>
    <xf numFmtId="166" fontId="4" fillId="4" borderId="33" xfId="1" applyNumberFormat="1" applyFont="1" applyFill="1" applyBorder="1" applyAlignment="1">
      <alignment horizontal="center" vertical="top"/>
    </xf>
    <xf numFmtId="166" fontId="4" fillId="4" borderId="44" xfId="1" applyNumberFormat="1" applyFont="1" applyFill="1" applyBorder="1" applyAlignment="1">
      <alignment horizontal="center" vertical="top"/>
    </xf>
    <xf numFmtId="166" fontId="5" fillId="0" borderId="4" xfId="1" applyNumberFormat="1" applyFont="1" applyFill="1" applyBorder="1" applyAlignment="1">
      <alignment horizontal="center" vertical="top"/>
    </xf>
    <xf numFmtId="166" fontId="5" fillId="0" borderId="2" xfId="1" applyNumberFormat="1" applyFont="1" applyFill="1" applyBorder="1" applyAlignment="1">
      <alignment horizontal="center" vertical="top"/>
    </xf>
    <xf numFmtId="164" fontId="5" fillId="0" borderId="2" xfId="1" applyFont="1" applyFill="1" applyBorder="1" applyAlignment="1">
      <alignment horizontal="center" vertical="top"/>
    </xf>
    <xf numFmtId="1" fontId="5" fillId="0" borderId="3" xfId="1" applyNumberFormat="1" applyFont="1" applyFill="1" applyBorder="1" applyAlignment="1">
      <alignment horizontal="center" vertical="top"/>
    </xf>
    <xf numFmtId="166" fontId="16" fillId="0" borderId="0" xfId="1" applyNumberFormat="1" applyFont="1" applyFill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30" xfId="0" applyFont="1" applyBorder="1" applyAlignment="1">
      <alignment horizontal="center" vertical="top"/>
    </xf>
    <xf numFmtId="166" fontId="4" fillId="5" borderId="29" xfId="1" applyNumberFormat="1" applyFont="1" applyFill="1" applyBorder="1" applyAlignment="1">
      <alignment horizontal="center" vertical="top"/>
    </xf>
    <xf numFmtId="164" fontId="14" fillId="0" borderId="13" xfId="1" applyFont="1" applyFill="1" applyBorder="1" applyAlignment="1">
      <alignment horizontal="center" vertical="top"/>
    </xf>
    <xf numFmtId="164" fontId="18" fillId="0" borderId="13" xfId="1" applyFont="1" applyFill="1" applyBorder="1" applyAlignment="1">
      <alignment horizontal="center" vertical="top"/>
    </xf>
    <xf numFmtId="164" fontId="4" fillId="5" borderId="30" xfId="1" applyFont="1" applyFill="1" applyBorder="1" applyAlignment="1">
      <alignment horizontal="center" vertical="top"/>
    </xf>
    <xf numFmtId="166" fontId="14" fillId="0" borderId="15" xfId="1" applyNumberFormat="1" applyFont="1" applyFill="1" applyBorder="1" applyAlignment="1">
      <alignment horizontal="center" vertical="top"/>
    </xf>
    <xf numFmtId="166" fontId="5" fillId="0" borderId="13" xfId="1" applyNumberFormat="1" applyFont="1" applyFill="1" applyBorder="1" applyAlignment="1">
      <alignment horizontal="center" vertical="top"/>
    </xf>
    <xf numFmtId="164" fontId="20" fillId="0" borderId="13" xfId="1" applyFont="1" applyFill="1" applyBorder="1" applyAlignment="1">
      <alignment horizontal="center" vertical="top"/>
    </xf>
    <xf numFmtId="1" fontId="5" fillId="0" borderId="14" xfId="1" applyNumberFormat="1" applyFont="1" applyFill="1" applyBorder="1" applyAlignment="1">
      <alignment horizontal="center" vertical="top"/>
    </xf>
    <xf numFmtId="166" fontId="5" fillId="0" borderId="15" xfId="1" applyNumberFormat="1" applyFont="1" applyFill="1" applyBorder="1" applyAlignment="1">
      <alignment vertical="top" wrapText="1"/>
    </xf>
    <xf numFmtId="166" fontId="5" fillId="0" borderId="17" xfId="1" applyNumberFormat="1" applyFont="1" applyFill="1" applyBorder="1" applyAlignment="1">
      <alignment horizontal="center" vertical="top"/>
    </xf>
    <xf numFmtId="166" fontId="5" fillId="0" borderId="23" xfId="1" applyNumberFormat="1" applyFont="1" applyFill="1" applyBorder="1" applyAlignment="1">
      <alignment horizontal="center" vertical="top"/>
    </xf>
    <xf numFmtId="166" fontId="4" fillId="0" borderId="24" xfId="1" applyNumberFormat="1" applyFont="1" applyFill="1" applyBorder="1" applyAlignment="1">
      <alignment horizontal="center" vertical="top"/>
    </xf>
    <xf numFmtId="166" fontId="21" fillId="0" borderId="4" xfId="1" applyNumberFormat="1" applyFont="1" applyFill="1" applyBorder="1" applyAlignment="1">
      <alignment vertical="top"/>
    </xf>
    <xf numFmtId="166" fontId="16" fillId="0" borderId="4" xfId="1" applyNumberFormat="1" applyFont="1" applyFill="1" applyBorder="1" applyAlignment="1">
      <alignment horizontal="center" vertical="top"/>
    </xf>
    <xf numFmtId="166" fontId="5" fillId="0" borderId="3" xfId="1" applyNumberFormat="1" applyFont="1" applyFill="1" applyBorder="1" applyAlignment="1">
      <alignment horizontal="center" vertical="top"/>
    </xf>
    <xf numFmtId="166" fontId="21" fillId="0" borderId="10" xfId="1" applyNumberFormat="1" applyFont="1" applyFill="1" applyBorder="1" applyAlignment="1">
      <alignment vertical="top"/>
    </xf>
    <xf numFmtId="166" fontId="16" fillId="0" borderId="10" xfId="1" applyNumberFormat="1" applyFont="1" applyFill="1" applyBorder="1" applyAlignment="1">
      <alignment horizontal="center" vertical="top"/>
    </xf>
    <xf numFmtId="0" fontId="5" fillId="0" borderId="30" xfId="0" applyFont="1" applyBorder="1" applyAlignment="1">
      <alignment horizontal="center" vertical="top"/>
    </xf>
    <xf numFmtId="164" fontId="10" fillId="0" borderId="13" xfId="1" applyFont="1" applyFill="1" applyBorder="1" applyAlignment="1">
      <alignment horizontal="center" vertical="top"/>
    </xf>
    <xf numFmtId="166" fontId="5" fillId="0" borderId="12" xfId="1" applyNumberFormat="1" applyFont="1" applyFill="1" applyBorder="1" applyAlignment="1">
      <alignment vertical="top" wrapText="1"/>
    </xf>
    <xf numFmtId="166" fontId="4" fillId="0" borderId="21" xfId="1" applyNumberFormat="1" applyFont="1" applyFill="1" applyBorder="1" applyAlignment="1">
      <alignment horizontal="center" vertical="top"/>
    </xf>
    <xf numFmtId="166" fontId="5" fillId="0" borderId="8" xfId="1" applyNumberFormat="1" applyFont="1" applyFill="1" applyBorder="1" applyAlignment="1">
      <alignment vertical="top"/>
    </xf>
    <xf numFmtId="164" fontId="7" fillId="0" borderId="13" xfId="1" applyFont="1" applyFill="1" applyBorder="1" applyAlignment="1">
      <alignment horizontal="center" vertical="top"/>
    </xf>
    <xf numFmtId="166" fontId="5" fillId="0" borderId="35" xfId="1" applyNumberFormat="1" applyFont="1" applyFill="1" applyBorder="1" applyAlignment="1">
      <alignment horizontal="center" vertical="top"/>
    </xf>
    <xf numFmtId="166" fontId="5" fillId="0" borderId="10" xfId="1" applyNumberFormat="1" applyFont="1" applyFill="1" applyBorder="1" applyAlignment="1">
      <alignment vertical="top" wrapText="1"/>
    </xf>
    <xf numFmtId="166" fontId="5" fillId="0" borderId="0" xfId="1" applyNumberFormat="1" applyFont="1" applyFill="1" applyBorder="1" applyAlignment="1">
      <alignment horizontal="center" vertical="top"/>
    </xf>
    <xf numFmtId="166" fontId="5" fillId="0" borderId="7" xfId="1" applyNumberFormat="1" applyFont="1" applyFill="1" applyBorder="1" applyAlignment="1">
      <alignment horizontal="center" vertical="top"/>
    </xf>
    <xf numFmtId="0" fontId="5" fillId="0" borderId="42" xfId="0" applyFont="1" applyBorder="1" applyAlignment="1">
      <alignment horizontal="center" vertical="top"/>
    </xf>
    <xf numFmtId="164" fontId="4" fillId="5" borderId="42" xfId="1" applyFont="1" applyFill="1" applyBorder="1" applyAlignment="1">
      <alignment horizontal="center" vertical="top"/>
    </xf>
    <xf numFmtId="166" fontId="19" fillId="0" borderId="19" xfId="1" applyNumberFormat="1" applyFont="1" applyFill="1" applyBorder="1" applyAlignment="1">
      <alignment vertical="top" wrapText="1"/>
    </xf>
    <xf numFmtId="166" fontId="19" fillId="0" borderId="50" xfId="1" applyNumberFormat="1" applyFont="1" applyFill="1" applyBorder="1" applyAlignment="1">
      <alignment horizontal="center" vertical="top"/>
    </xf>
    <xf numFmtId="166" fontId="16" fillId="0" borderId="23" xfId="1" applyNumberFormat="1" applyFont="1" applyFill="1" applyBorder="1" applyAlignment="1">
      <alignment horizontal="center" vertical="top"/>
    </xf>
    <xf numFmtId="166" fontId="22" fillId="0" borderId="22" xfId="1" applyNumberFormat="1" applyFont="1" applyFill="1" applyBorder="1" applyAlignment="1">
      <alignment vertical="top"/>
    </xf>
    <xf numFmtId="166" fontId="23" fillId="0" borderId="22" xfId="1" applyNumberFormat="1" applyFont="1" applyFill="1" applyBorder="1" applyAlignment="1">
      <alignment vertical="top"/>
    </xf>
    <xf numFmtId="166" fontId="23" fillId="0" borderId="22" xfId="1" applyNumberFormat="1" applyFont="1" applyFill="1" applyBorder="1" applyAlignment="1">
      <alignment horizontal="center" vertical="top"/>
    </xf>
    <xf numFmtId="49" fontId="10" fillId="2" borderId="31" xfId="0" applyNumberFormat="1" applyFont="1" applyFill="1" applyBorder="1" applyAlignment="1">
      <alignment horizontal="center" vertical="top"/>
    </xf>
    <xf numFmtId="49" fontId="10" fillId="2" borderId="32" xfId="0" applyNumberFormat="1" applyFont="1" applyFill="1" applyBorder="1" applyAlignment="1">
      <alignment vertical="top"/>
    </xf>
    <xf numFmtId="0" fontId="5" fillId="2" borderId="32" xfId="0" applyFont="1" applyFill="1" applyBorder="1" applyAlignment="1">
      <alignment horizontal="left" vertical="top"/>
    </xf>
    <xf numFmtId="0" fontId="5" fillId="2" borderId="36" xfId="0" applyFont="1" applyFill="1" applyBorder="1" applyAlignment="1">
      <alignment horizontal="center" vertical="top"/>
    </xf>
    <xf numFmtId="165" fontId="4" fillId="2" borderId="13" xfId="1" applyNumberFormat="1" applyFont="1" applyFill="1" applyBorder="1" applyAlignment="1">
      <alignment horizontal="right" vertical="top"/>
    </xf>
    <xf numFmtId="164" fontId="14" fillId="2" borderId="15" xfId="1" applyFont="1" applyFill="1" applyBorder="1" applyAlignment="1">
      <alignment vertical="top"/>
    </xf>
    <xf numFmtId="164" fontId="15" fillId="2" borderId="13" xfId="1" applyFont="1" applyFill="1" applyBorder="1" applyAlignment="1">
      <alignment vertical="top"/>
    </xf>
    <xf numFmtId="164" fontId="4" fillId="2" borderId="36" xfId="1" applyFont="1" applyFill="1" applyBorder="1" applyAlignment="1">
      <alignment horizontal="right" vertical="top"/>
    </xf>
    <xf numFmtId="164" fontId="4" fillId="2" borderId="51" xfId="1" applyFont="1" applyFill="1" applyBorder="1" applyAlignment="1">
      <alignment horizontal="right" vertical="top"/>
    </xf>
    <xf numFmtId="0" fontId="5" fillId="0" borderId="6" xfId="0" applyFont="1" applyBorder="1" applyAlignment="1">
      <alignment vertical="top"/>
    </xf>
    <xf numFmtId="166" fontId="5" fillId="0" borderId="6" xfId="1" applyNumberFormat="1" applyFont="1" applyFill="1" applyBorder="1" applyAlignment="1">
      <alignment vertical="top"/>
    </xf>
    <xf numFmtId="166" fontId="5" fillId="0" borderId="6" xfId="1" applyNumberFormat="1" applyFont="1" applyFill="1" applyBorder="1" applyAlignment="1">
      <alignment horizontal="center" vertical="top"/>
    </xf>
    <xf numFmtId="164" fontId="10" fillId="0" borderId="6" xfId="1" applyFont="1" applyFill="1" applyBorder="1" applyAlignment="1">
      <alignment vertical="top"/>
    </xf>
    <xf numFmtId="1" fontId="5" fillId="0" borderId="6" xfId="1" applyNumberFormat="1" applyFont="1" applyFill="1" applyBorder="1" applyAlignment="1">
      <alignment horizontal="center" vertical="top"/>
    </xf>
    <xf numFmtId="166" fontId="10" fillId="0" borderId="6" xfId="1" applyNumberFormat="1" applyFont="1" applyFill="1" applyBorder="1" applyAlignment="1">
      <alignment horizontal="center" vertical="top"/>
    </xf>
    <xf numFmtId="166" fontId="10" fillId="0" borderId="6" xfId="1" applyNumberFormat="1" applyFont="1" applyFill="1" applyBorder="1" applyAlignment="1">
      <alignment vertical="top"/>
    </xf>
    <xf numFmtId="49" fontId="10" fillId="0" borderId="0" xfId="0" applyNumberFormat="1" applyFont="1" applyAlignment="1">
      <alignment horizontal="center" vertical="top"/>
    </xf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horizontal="center" vertical="top"/>
    </xf>
    <xf numFmtId="165" fontId="10" fillId="0" borderId="0" xfId="1" applyNumberFormat="1" applyFont="1" applyFill="1" applyAlignment="1">
      <alignment horizontal="right" vertical="top"/>
    </xf>
    <xf numFmtId="164" fontId="15" fillId="0" borderId="0" xfId="1" applyFont="1" applyFill="1" applyAlignment="1">
      <alignment vertical="top"/>
    </xf>
    <xf numFmtId="164" fontId="15" fillId="0" borderId="0" xfId="1" applyFont="1" applyFill="1" applyBorder="1" applyAlignment="1">
      <alignment vertical="top"/>
    </xf>
    <xf numFmtId="164" fontId="10" fillId="0" borderId="0" xfId="1" applyFont="1" applyFill="1" applyAlignment="1">
      <alignment vertical="top"/>
    </xf>
    <xf numFmtId="0" fontId="5" fillId="0" borderId="0" xfId="0" applyFont="1" applyAlignment="1">
      <alignment vertical="top"/>
    </xf>
    <xf numFmtId="166" fontId="5" fillId="0" borderId="0" xfId="1" applyNumberFormat="1" applyFont="1" applyFill="1" applyBorder="1" applyAlignment="1">
      <alignment vertical="top"/>
    </xf>
    <xf numFmtId="166" fontId="5" fillId="0" borderId="0" xfId="1" applyNumberFormat="1" applyFont="1" applyFill="1" applyAlignment="1">
      <alignment vertical="top"/>
    </xf>
    <xf numFmtId="166" fontId="5" fillId="0" borderId="0" xfId="1" applyNumberFormat="1" applyFont="1" applyFill="1" applyAlignment="1">
      <alignment horizontal="center" vertical="top"/>
    </xf>
    <xf numFmtId="1" fontId="5" fillId="0" borderId="0" xfId="1" applyNumberFormat="1" applyFont="1" applyFill="1" applyAlignment="1">
      <alignment horizontal="center" vertical="top"/>
    </xf>
    <xf numFmtId="166" fontId="10" fillId="0" borderId="0" xfId="1" applyNumberFormat="1" applyFont="1" applyFill="1" applyAlignment="1">
      <alignment horizontal="center" vertical="top"/>
    </xf>
    <xf numFmtId="166" fontId="10" fillId="0" borderId="0" xfId="1" applyNumberFormat="1" applyFont="1" applyFill="1" applyAlignment="1">
      <alignment vertical="top"/>
    </xf>
    <xf numFmtId="0" fontId="5" fillId="0" borderId="8" xfId="0" quotePrefix="1" applyFont="1" applyBorder="1" applyAlignment="1">
      <alignment horizontal="center" vertical="top"/>
    </xf>
    <xf numFmtId="0" fontId="5" fillId="0" borderId="2" xfId="0" quotePrefix="1" applyFont="1" applyBorder="1" applyAlignment="1">
      <alignment horizontal="center" vertical="top"/>
    </xf>
    <xf numFmtId="166" fontId="19" fillId="0" borderId="0" xfId="1" applyNumberFormat="1" applyFont="1" applyFill="1" applyBorder="1" applyAlignment="1">
      <alignment horizontal="center" vertical="top"/>
    </xf>
    <xf numFmtId="166" fontId="19" fillId="0" borderId="10" xfId="1" applyNumberFormat="1" applyFont="1" applyFill="1" applyBorder="1" applyAlignment="1">
      <alignment horizontal="center" vertical="top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64" fontId="13" fillId="3" borderId="2" xfId="1" applyFont="1" applyFill="1" applyBorder="1" applyAlignment="1">
      <alignment horizontal="center" vertical="center"/>
    </xf>
    <xf numFmtId="164" fontId="13" fillId="3" borderId="8" xfId="1" applyFont="1" applyFill="1" applyBorder="1" applyAlignment="1">
      <alignment horizontal="center" vertical="center"/>
    </xf>
    <xf numFmtId="164" fontId="13" fillId="3" borderId="13" xfId="1" applyFont="1" applyFill="1" applyBorder="1" applyAlignment="1">
      <alignment horizontal="center" vertical="center"/>
    </xf>
    <xf numFmtId="164" fontId="4" fillId="3" borderId="41" xfId="1" applyFont="1" applyFill="1" applyBorder="1" applyAlignment="1">
      <alignment horizontal="center" vertical="center" wrapText="1"/>
    </xf>
    <xf numFmtId="164" fontId="4" fillId="3" borderId="25" xfId="1" applyFont="1" applyFill="1" applyBorder="1" applyAlignment="1">
      <alignment horizontal="center" vertical="center" wrapText="1"/>
    </xf>
    <xf numFmtId="164" fontId="4" fillId="3" borderId="30" xfId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top" wrapText="1"/>
    </xf>
    <xf numFmtId="0" fontId="4" fillId="3" borderId="8" xfId="0" quotePrefix="1" applyFont="1" applyFill="1" applyBorder="1" applyAlignment="1">
      <alignment horizontal="center" vertical="top" wrapText="1"/>
    </xf>
    <xf numFmtId="0" fontId="4" fillId="3" borderId="13" xfId="0" quotePrefix="1" applyFont="1" applyFill="1" applyBorder="1" applyAlignment="1">
      <alignment horizontal="center" vertical="top" wrapText="1"/>
    </xf>
    <xf numFmtId="164" fontId="4" fillId="3" borderId="2" xfId="1" quotePrefix="1" applyFont="1" applyFill="1" applyBorder="1" applyAlignment="1">
      <alignment horizontal="center" vertical="top" wrapText="1"/>
    </xf>
    <xf numFmtId="164" fontId="4" fillId="3" borderId="8" xfId="1" quotePrefix="1" applyFont="1" applyFill="1" applyBorder="1" applyAlignment="1">
      <alignment horizontal="center" vertical="top" wrapText="1"/>
    </xf>
    <xf numFmtId="164" fontId="4" fillId="3" borderId="13" xfId="1" quotePrefix="1" applyFont="1" applyFill="1" applyBorder="1" applyAlignment="1">
      <alignment horizontal="center" vertical="top" wrapText="1"/>
    </xf>
    <xf numFmtId="0" fontId="4" fillId="3" borderId="32" xfId="0" applyFont="1" applyFill="1" applyBorder="1" applyAlignment="1">
      <alignment horizontal="center" vertical="top"/>
    </xf>
    <xf numFmtId="0" fontId="4" fillId="3" borderId="45" xfId="0" applyFont="1" applyFill="1" applyBorder="1" applyAlignment="1">
      <alignment horizontal="center" vertical="top"/>
    </xf>
    <xf numFmtId="166" fontId="4" fillId="3" borderId="37" xfId="1" applyNumberFormat="1" applyFont="1" applyFill="1" applyBorder="1" applyAlignment="1">
      <alignment horizontal="center" vertical="top"/>
    </xf>
    <xf numFmtId="166" fontId="4" fillId="3" borderId="40" xfId="1" applyNumberFormat="1" applyFont="1" applyFill="1" applyBorder="1" applyAlignment="1">
      <alignment horizontal="center" vertical="top"/>
    </xf>
    <xf numFmtId="166" fontId="19" fillId="0" borderId="6" xfId="1" applyNumberFormat="1" applyFont="1" applyFill="1" applyBorder="1" applyAlignment="1">
      <alignment horizontal="center" vertical="top"/>
    </xf>
    <xf numFmtId="166" fontId="19" fillId="0" borderId="4" xfId="1" applyNumberFormat="1" applyFont="1" applyFill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DAC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65D4-DB40-4935-9600-1AA62BAB8922}">
  <sheetPr>
    <tabColor theme="8" tint="0.39997558519241921"/>
    <pageSetUpPr fitToPage="1"/>
  </sheetPr>
  <dimension ref="A1:AE29"/>
  <sheetViews>
    <sheetView showGridLines="0" tabSelected="1" zoomScale="92" zoomScaleNormal="92" zoomScaleSheetLayoutView="92" workbookViewId="0">
      <pane xSplit="2" ySplit="4" topLeftCell="C5" activePane="bottomRight" state="frozen"/>
      <selection pane="bottomRight" activeCell="F30" sqref="F30:G30"/>
      <selection pane="bottomLeft" sqref="A1:S1"/>
      <selection pane="topRight" sqref="A1:S1"/>
    </sheetView>
  </sheetViews>
  <sheetFormatPr defaultColWidth="9.140625" defaultRowHeight="24" customHeight="1"/>
  <cols>
    <col min="1" max="1" width="4.7109375" style="187" customWidth="1"/>
    <col min="2" max="2" width="19.140625" style="188" customWidth="1"/>
    <col min="3" max="3" width="24" style="71" bestFit="1" customWidth="1"/>
    <col min="4" max="4" width="25.28515625" style="189" bestFit="1" customWidth="1"/>
    <col min="5" max="5" width="10.7109375" style="190" customWidth="1"/>
    <col min="6" max="7" width="12.140625" style="191" customWidth="1"/>
    <col min="8" max="8" width="20.85546875" style="193" customWidth="1"/>
    <col min="9" max="9" width="21.85546875" style="193" customWidth="1"/>
    <col min="10" max="10" width="16.140625" style="194" customWidth="1"/>
    <col min="11" max="11" width="12.7109375" style="196" customWidth="1"/>
    <col min="12" max="12" width="12.42578125" style="197" customWidth="1"/>
    <col min="13" max="13" width="13.7109375" style="193" customWidth="1"/>
    <col min="14" max="14" width="14.42578125" style="198" customWidth="1"/>
    <col min="15" max="15" width="9.7109375" style="199" customWidth="1"/>
    <col min="16" max="16" width="9.28515625" style="200" customWidth="1"/>
    <col min="17" max="18" width="9.85546875" style="200" customWidth="1"/>
    <col min="19" max="20" width="8.7109375" style="200" customWidth="1"/>
    <col min="21" max="21" width="9.42578125" style="200" bestFit="1" customWidth="1"/>
    <col min="22" max="24" width="8.7109375" style="200" customWidth="1"/>
    <col min="25" max="25" width="8.140625" style="200" customWidth="1"/>
    <col min="26" max="28" width="8.7109375" style="200" customWidth="1"/>
    <col min="29" max="29" width="7.85546875" style="200" customWidth="1"/>
    <col min="30" max="30" width="4.5703125" style="85" customWidth="1"/>
    <col min="31" max="31" width="8.5703125" style="85" customWidth="1"/>
    <col min="32" max="16384" width="9.140625" style="85"/>
  </cols>
  <sheetData>
    <row r="1" spans="1:31" s="22" customFormat="1" ht="43.5" customHeight="1">
      <c r="A1" s="14" t="s">
        <v>0</v>
      </c>
      <c r="B1" s="15"/>
      <c r="C1" s="16"/>
      <c r="D1" s="16"/>
      <c r="E1" s="17"/>
      <c r="F1" s="18"/>
      <c r="G1" s="18"/>
      <c r="H1" s="19"/>
      <c r="I1" s="19"/>
      <c r="J1" s="14"/>
      <c r="K1" s="14"/>
      <c r="L1" s="20"/>
      <c r="M1" s="19"/>
      <c r="N1" s="21"/>
      <c r="O1" s="16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31" s="30" customFormat="1" ht="23.25" customHeight="1">
      <c r="A2" s="205" t="s">
        <v>1</v>
      </c>
      <c r="B2" s="208" t="s">
        <v>2</v>
      </c>
      <c r="C2" s="23"/>
      <c r="D2" s="24"/>
      <c r="E2" s="25"/>
      <c r="F2" s="211" t="s">
        <v>3</v>
      </c>
      <c r="G2" s="26"/>
      <c r="H2" s="27"/>
      <c r="I2" s="214" t="s">
        <v>4</v>
      </c>
      <c r="J2" s="28" t="s">
        <v>5</v>
      </c>
      <c r="K2" s="24" t="s">
        <v>6</v>
      </c>
      <c r="L2" s="217" t="s">
        <v>7</v>
      </c>
      <c r="M2" s="220" t="s">
        <v>8</v>
      </c>
      <c r="N2" s="29" t="s">
        <v>9</v>
      </c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4"/>
    </row>
    <row r="3" spans="1:31" s="30" customFormat="1" ht="23.25" customHeight="1">
      <c r="A3" s="206"/>
      <c r="B3" s="209"/>
      <c r="C3" s="31" t="s">
        <v>10</v>
      </c>
      <c r="D3" s="32" t="s">
        <v>11</v>
      </c>
      <c r="E3" s="33" t="s">
        <v>12</v>
      </c>
      <c r="F3" s="212"/>
      <c r="G3" s="34" t="s">
        <v>13</v>
      </c>
      <c r="H3" s="35" t="s">
        <v>14</v>
      </c>
      <c r="I3" s="215"/>
      <c r="J3" s="36" t="s">
        <v>15</v>
      </c>
      <c r="K3" s="37" t="s">
        <v>16</v>
      </c>
      <c r="L3" s="218"/>
      <c r="M3" s="221"/>
      <c r="N3" s="38" t="s">
        <v>17</v>
      </c>
      <c r="O3" s="225" t="s">
        <v>18</v>
      </c>
      <c r="P3" s="225"/>
      <c r="Q3" s="226"/>
      <c r="R3" s="39"/>
      <c r="S3" s="225" t="s">
        <v>19</v>
      </c>
      <c r="T3" s="225"/>
      <c r="U3" s="225"/>
      <c r="V3" s="225"/>
      <c r="W3" s="225"/>
      <c r="X3" s="225"/>
      <c r="Y3" s="225"/>
      <c r="Z3" s="225"/>
      <c r="AA3" s="225"/>
      <c r="AB3" s="225"/>
      <c r="AC3" s="226"/>
    </row>
    <row r="4" spans="1:31" s="30" customFormat="1" ht="23.25" customHeight="1">
      <c r="A4" s="207"/>
      <c r="B4" s="210"/>
      <c r="C4" s="40"/>
      <c r="D4" s="41"/>
      <c r="E4" s="42" t="s">
        <v>20</v>
      </c>
      <c r="F4" s="213"/>
      <c r="G4" s="43"/>
      <c r="H4" s="44"/>
      <c r="I4" s="216"/>
      <c r="J4" s="45" t="s">
        <v>21</v>
      </c>
      <c r="K4" s="41" t="s">
        <v>22</v>
      </c>
      <c r="L4" s="219"/>
      <c r="M4" s="222"/>
      <c r="N4" s="46" t="s">
        <v>19</v>
      </c>
      <c r="O4" s="47" t="s">
        <v>23</v>
      </c>
      <c r="P4" s="48" t="s">
        <v>24</v>
      </c>
      <c r="Q4" s="49" t="s">
        <v>25</v>
      </c>
      <c r="R4" s="50" t="s">
        <v>26</v>
      </c>
      <c r="S4" s="51" t="s">
        <v>27</v>
      </c>
      <c r="T4" s="51" t="s">
        <v>28</v>
      </c>
      <c r="U4" s="51" t="s">
        <v>29</v>
      </c>
      <c r="V4" s="51" t="s">
        <v>30</v>
      </c>
      <c r="W4" s="51" t="s">
        <v>31</v>
      </c>
      <c r="X4" s="51" t="s">
        <v>32</v>
      </c>
      <c r="Y4" s="51" t="s">
        <v>33</v>
      </c>
      <c r="Z4" s="51" t="s">
        <v>34</v>
      </c>
      <c r="AA4" s="51" t="s">
        <v>23</v>
      </c>
      <c r="AB4" s="51" t="s">
        <v>24</v>
      </c>
      <c r="AC4" s="52" t="s">
        <v>25</v>
      </c>
    </row>
    <row r="5" spans="1:31" s="71" customFormat="1">
      <c r="A5" s="53"/>
      <c r="B5" s="54"/>
      <c r="C5" s="55"/>
      <c r="D5" s="56"/>
      <c r="E5" s="57"/>
      <c r="F5" s="58"/>
      <c r="G5" s="59"/>
      <c r="H5" s="60"/>
      <c r="I5" s="61"/>
      <c r="J5" s="62"/>
      <c r="K5" s="63"/>
      <c r="L5" s="63"/>
      <c r="M5" s="64"/>
      <c r="N5" s="65"/>
      <c r="O5" s="66"/>
      <c r="P5" s="67"/>
      <c r="Q5" s="66"/>
      <c r="R5" s="68"/>
      <c r="S5" s="69"/>
      <c r="T5" s="67"/>
      <c r="U5" s="67"/>
      <c r="V5" s="67"/>
      <c r="W5" s="67"/>
      <c r="X5" s="67"/>
      <c r="Y5" s="67"/>
      <c r="Z5" s="67"/>
      <c r="AA5" s="67"/>
      <c r="AB5" s="67"/>
      <c r="AC5" s="70"/>
    </row>
    <row r="6" spans="1:31" ht="23.25" customHeight="1">
      <c r="A6" s="1" t="s">
        <v>35</v>
      </c>
      <c r="B6" s="201" t="s">
        <v>36</v>
      </c>
      <c r="C6" s="72" t="s">
        <v>37</v>
      </c>
      <c r="D6" s="73" t="s">
        <v>38</v>
      </c>
      <c r="E6" s="74">
        <v>1150</v>
      </c>
      <c r="F6" s="75">
        <f>H6/E6</f>
        <v>87300</v>
      </c>
      <c r="G6" s="76">
        <v>83950</v>
      </c>
      <c r="H6" s="3">
        <v>100395000</v>
      </c>
      <c r="I6" s="77"/>
      <c r="J6" s="78">
        <v>5505</v>
      </c>
      <c r="K6" s="79">
        <v>5265</v>
      </c>
      <c r="L6" s="79">
        <v>300</v>
      </c>
      <c r="M6" s="80" t="s">
        <v>39</v>
      </c>
      <c r="N6" s="65">
        <v>1000</v>
      </c>
      <c r="O6" s="203" t="s">
        <v>40</v>
      </c>
      <c r="P6" s="204"/>
      <c r="Q6" s="82" t="s">
        <v>41</v>
      </c>
      <c r="R6" s="83" t="s">
        <v>42</v>
      </c>
      <c r="S6" s="79">
        <v>500</v>
      </c>
      <c r="T6" s="79">
        <v>500</v>
      </c>
      <c r="U6" s="79">
        <v>150</v>
      </c>
      <c r="V6" s="79"/>
      <c r="W6" s="79"/>
      <c r="X6" s="79"/>
      <c r="Y6" s="79"/>
      <c r="Z6" s="79"/>
      <c r="AA6" s="79"/>
      <c r="AB6" s="79"/>
      <c r="AC6" s="84"/>
      <c r="AE6" s="86">
        <f t="shared" ref="AE6:AE12" si="0">SUM(S6:AC6)-E6</f>
        <v>0</v>
      </c>
    </row>
    <row r="7" spans="1:31" ht="23.25" customHeight="1">
      <c r="A7" s="8"/>
      <c r="B7" s="12"/>
      <c r="C7" s="72"/>
      <c r="D7" s="73"/>
      <c r="E7" s="74"/>
      <c r="F7" s="75"/>
      <c r="G7" s="87"/>
      <c r="H7" s="3"/>
      <c r="I7" s="77"/>
      <c r="J7" s="88"/>
      <c r="K7" s="79"/>
      <c r="L7" s="79"/>
      <c r="M7" s="89"/>
      <c r="N7" s="65"/>
      <c r="O7" s="90"/>
      <c r="P7" s="91"/>
      <c r="Q7" s="92"/>
      <c r="R7" s="83"/>
      <c r="S7" s="79"/>
      <c r="T7" s="79"/>
      <c r="U7" s="79"/>
      <c r="V7" s="79"/>
      <c r="W7" s="79"/>
      <c r="X7" s="79"/>
      <c r="Y7" s="79"/>
      <c r="Z7" s="79"/>
      <c r="AA7" s="79"/>
      <c r="AB7" s="93"/>
      <c r="AC7" s="84"/>
      <c r="AE7" s="86">
        <f t="shared" si="0"/>
        <v>0</v>
      </c>
    </row>
    <row r="8" spans="1:31" ht="23.25" customHeight="1">
      <c r="A8" s="8"/>
      <c r="B8" s="12"/>
      <c r="C8" s="94"/>
      <c r="D8" s="95" t="s">
        <v>43</v>
      </c>
      <c r="E8" s="96">
        <f>SUM(E6:E7)</f>
        <v>1150</v>
      </c>
      <c r="F8" s="97"/>
      <c r="G8" s="98"/>
      <c r="H8" s="99">
        <f>SUM(H6:H7)</f>
        <v>100395000</v>
      </c>
      <c r="I8" s="100">
        <f>H8*1.07</f>
        <v>107422650</v>
      </c>
      <c r="J8" s="101"/>
      <c r="K8" s="102"/>
      <c r="L8" s="102"/>
      <c r="M8" s="103"/>
      <c r="N8" s="104"/>
      <c r="O8" s="105"/>
      <c r="P8" s="102"/>
      <c r="Q8" s="106"/>
      <c r="R8" s="107"/>
      <c r="S8" s="108">
        <f>SUM(S6:S7)</f>
        <v>500</v>
      </c>
      <c r="T8" s="108">
        <f t="shared" ref="T8:AC8" si="1">SUM(T6:T7)</f>
        <v>500</v>
      </c>
      <c r="U8" s="108">
        <f t="shared" si="1"/>
        <v>150</v>
      </c>
      <c r="V8" s="108">
        <f t="shared" si="1"/>
        <v>0</v>
      </c>
      <c r="W8" s="108">
        <f t="shared" si="1"/>
        <v>0</v>
      </c>
      <c r="X8" s="108">
        <f t="shared" si="1"/>
        <v>0</v>
      </c>
      <c r="Y8" s="108">
        <f t="shared" si="1"/>
        <v>0</v>
      </c>
      <c r="Z8" s="108">
        <f t="shared" si="1"/>
        <v>0</v>
      </c>
      <c r="AA8" s="108">
        <f t="shared" si="1"/>
        <v>0</v>
      </c>
      <c r="AB8" s="108">
        <f t="shared" si="1"/>
        <v>0</v>
      </c>
      <c r="AC8" s="109">
        <f t="shared" si="1"/>
        <v>0</v>
      </c>
      <c r="AE8" s="86">
        <f t="shared" si="0"/>
        <v>0</v>
      </c>
    </row>
    <row r="9" spans="1:31" ht="23.25" customHeight="1">
      <c r="A9" s="1"/>
      <c r="B9" s="2"/>
      <c r="C9" s="72" t="s">
        <v>44</v>
      </c>
      <c r="D9" s="73" t="s">
        <v>45</v>
      </c>
      <c r="E9" s="74">
        <v>1470</v>
      </c>
      <c r="F9" s="75">
        <f>H9/E9</f>
        <v>87300</v>
      </c>
      <c r="G9" s="76">
        <v>83950</v>
      </c>
      <c r="H9" s="3">
        <v>128331000</v>
      </c>
      <c r="I9" s="77"/>
      <c r="J9" s="78">
        <v>5505</v>
      </c>
      <c r="K9" s="79">
        <v>5265</v>
      </c>
      <c r="L9" s="79">
        <v>300</v>
      </c>
      <c r="M9" s="80" t="s">
        <v>39</v>
      </c>
      <c r="N9" s="65"/>
      <c r="O9" s="203" t="s">
        <v>40</v>
      </c>
      <c r="P9" s="204"/>
      <c r="Q9" s="82" t="s">
        <v>41</v>
      </c>
      <c r="R9" s="83" t="s">
        <v>42</v>
      </c>
      <c r="S9" s="79">
        <v>500</v>
      </c>
      <c r="T9" s="79">
        <v>500</v>
      </c>
      <c r="U9" s="79">
        <v>470</v>
      </c>
      <c r="V9" s="79"/>
      <c r="W9" s="79"/>
      <c r="X9" s="79"/>
      <c r="Y9" s="79"/>
      <c r="Z9" s="79"/>
      <c r="AA9" s="79"/>
      <c r="AB9" s="79"/>
      <c r="AC9" s="84"/>
      <c r="AE9" s="86">
        <f t="shared" si="0"/>
        <v>0</v>
      </c>
    </row>
    <row r="10" spans="1:31" ht="23.25" customHeight="1">
      <c r="A10" s="8"/>
      <c r="B10" s="12"/>
      <c r="C10" s="72"/>
      <c r="D10" s="73"/>
      <c r="E10" s="74"/>
      <c r="F10" s="75"/>
      <c r="G10" s="87"/>
      <c r="H10" s="3"/>
      <c r="I10" s="77"/>
      <c r="J10" s="88"/>
      <c r="K10" s="79"/>
      <c r="L10" s="79"/>
      <c r="M10" s="89"/>
      <c r="N10" s="65"/>
      <c r="O10" s="90"/>
      <c r="P10" s="91"/>
      <c r="Q10" s="92"/>
      <c r="R10" s="83"/>
      <c r="S10" s="79"/>
      <c r="T10" s="79"/>
      <c r="U10" s="79"/>
      <c r="V10" s="79"/>
      <c r="W10" s="79"/>
      <c r="X10" s="79"/>
      <c r="Y10" s="79"/>
      <c r="Z10" s="79"/>
      <c r="AA10" s="79"/>
      <c r="AB10" s="93"/>
      <c r="AC10" s="84"/>
      <c r="AE10" s="86">
        <f t="shared" si="0"/>
        <v>0</v>
      </c>
    </row>
    <row r="11" spans="1:31" ht="23.25" customHeight="1">
      <c r="A11" s="8"/>
      <c r="B11" s="12"/>
      <c r="C11" s="55"/>
      <c r="D11" s="110" t="s">
        <v>46</v>
      </c>
      <c r="E11" s="111">
        <f>SUM(E9:E10)</f>
        <v>1470</v>
      </c>
      <c r="F11" s="97"/>
      <c r="G11" s="98"/>
      <c r="H11" s="112">
        <f>SUM(H9:H10)</f>
        <v>128331000</v>
      </c>
      <c r="I11" s="113">
        <f>H11*1.07</f>
        <v>137314170</v>
      </c>
      <c r="J11" s="88"/>
      <c r="K11" s="79"/>
      <c r="L11" s="79"/>
      <c r="M11" s="114"/>
      <c r="N11" s="115"/>
      <c r="O11" s="116"/>
      <c r="P11" s="79"/>
      <c r="Q11" s="84"/>
      <c r="R11" s="107"/>
      <c r="S11" s="108">
        <f t="shared" ref="S11:AC11" si="2">SUM(S9:S10)</f>
        <v>500</v>
      </c>
      <c r="T11" s="108">
        <f t="shared" si="2"/>
        <v>500</v>
      </c>
      <c r="U11" s="108">
        <f t="shared" si="2"/>
        <v>470</v>
      </c>
      <c r="V11" s="108">
        <f t="shared" si="2"/>
        <v>0</v>
      </c>
      <c r="W11" s="108">
        <f t="shared" si="2"/>
        <v>0</v>
      </c>
      <c r="X11" s="108">
        <f t="shared" si="2"/>
        <v>0</v>
      </c>
      <c r="Y11" s="108">
        <f t="shared" si="2"/>
        <v>0</v>
      </c>
      <c r="Z11" s="108">
        <f t="shared" si="2"/>
        <v>0</v>
      </c>
      <c r="AA11" s="108">
        <f t="shared" si="2"/>
        <v>0</v>
      </c>
      <c r="AB11" s="108">
        <f t="shared" si="2"/>
        <v>0</v>
      </c>
      <c r="AC11" s="109">
        <f t="shared" si="2"/>
        <v>0</v>
      </c>
      <c r="AE11" s="86">
        <f t="shared" si="0"/>
        <v>0</v>
      </c>
    </row>
    <row r="12" spans="1:31" ht="23.25" customHeight="1">
      <c r="A12" s="8"/>
      <c r="B12" s="12"/>
      <c r="C12" s="117"/>
      <c r="D12" s="118" t="s">
        <v>47</v>
      </c>
      <c r="E12" s="119">
        <f>SUM(E11,E8)</f>
        <v>2620</v>
      </c>
      <c r="F12" s="120"/>
      <c r="G12" s="121"/>
      <c r="H12" s="122">
        <f>SUM(H11,H8)</f>
        <v>228726000</v>
      </c>
      <c r="I12" s="123">
        <f>H12*1.07</f>
        <v>244736820</v>
      </c>
      <c r="J12" s="88"/>
      <c r="K12" s="79"/>
      <c r="L12" s="79"/>
      <c r="M12" s="114"/>
      <c r="N12" s="115"/>
      <c r="O12" s="124"/>
      <c r="P12" s="102"/>
      <c r="Q12" s="125"/>
      <c r="R12" s="126"/>
      <c r="S12" s="127">
        <f>SUM(S8,S11)</f>
        <v>1000</v>
      </c>
      <c r="T12" s="127">
        <f t="shared" ref="T12:AC12" si="3">SUM(T8,T11)</f>
        <v>1000</v>
      </c>
      <c r="U12" s="127">
        <f t="shared" si="3"/>
        <v>620</v>
      </c>
      <c r="V12" s="127">
        <f t="shared" si="3"/>
        <v>0</v>
      </c>
      <c r="W12" s="127">
        <f t="shared" si="3"/>
        <v>0</v>
      </c>
      <c r="X12" s="127">
        <f t="shared" si="3"/>
        <v>0</v>
      </c>
      <c r="Y12" s="127">
        <f t="shared" si="3"/>
        <v>0</v>
      </c>
      <c r="Z12" s="127">
        <f t="shared" si="3"/>
        <v>0</v>
      </c>
      <c r="AA12" s="127">
        <f t="shared" si="3"/>
        <v>0</v>
      </c>
      <c r="AB12" s="127">
        <f t="shared" si="3"/>
        <v>0</v>
      </c>
      <c r="AC12" s="128">
        <f t="shared" si="3"/>
        <v>0</v>
      </c>
      <c r="AE12" s="86">
        <f t="shared" si="0"/>
        <v>0</v>
      </c>
    </row>
    <row r="13" spans="1:31" ht="23.25" customHeight="1">
      <c r="A13" s="7" t="s">
        <v>48</v>
      </c>
      <c r="B13" s="202" t="s">
        <v>49</v>
      </c>
      <c r="C13" s="72" t="s">
        <v>50</v>
      </c>
      <c r="D13" s="73" t="s">
        <v>38</v>
      </c>
      <c r="E13" s="74">
        <v>22</v>
      </c>
      <c r="F13" s="75">
        <f>H13/E13</f>
        <v>96800</v>
      </c>
      <c r="G13" s="76">
        <v>93500</v>
      </c>
      <c r="H13" s="3">
        <v>2129600</v>
      </c>
      <c r="I13" s="77"/>
      <c r="J13" s="129">
        <v>1758</v>
      </c>
      <c r="K13" s="130">
        <v>444</v>
      </c>
      <c r="L13" s="130">
        <v>300</v>
      </c>
      <c r="M13" s="131" t="s">
        <v>51</v>
      </c>
      <c r="N13" s="132">
        <v>200</v>
      </c>
      <c r="O13" s="227" t="s">
        <v>40</v>
      </c>
      <c r="P13" s="228"/>
      <c r="Q13" s="82" t="s">
        <v>41</v>
      </c>
      <c r="R13" s="83" t="s">
        <v>42</v>
      </c>
      <c r="S13" s="129">
        <v>22</v>
      </c>
      <c r="T13" s="129"/>
      <c r="U13" s="130"/>
      <c r="V13" s="130"/>
      <c r="W13" s="130"/>
      <c r="X13" s="130"/>
      <c r="Y13" s="130"/>
      <c r="Z13" s="130"/>
      <c r="AA13" s="79"/>
      <c r="AB13" s="79"/>
      <c r="AC13" s="84"/>
      <c r="AE13" s="86">
        <f t="shared" ref="AE13:AE15" si="4">SUM(S13:AC13)-E13</f>
        <v>0</v>
      </c>
    </row>
    <row r="14" spans="1:31" ht="23.25" customHeight="1">
      <c r="A14" s="4"/>
      <c r="B14" s="2"/>
      <c r="C14" s="72"/>
      <c r="D14" s="73" t="s">
        <v>45</v>
      </c>
      <c r="E14" s="74">
        <v>284</v>
      </c>
      <c r="F14" s="75">
        <f>H14/E14</f>
        <v>96800</v>
      </c>
      <c r="G14" s="76"/>
      <c r="H14" s="3">
        <v>27491200</v>
      </c>
      <c r="I14" s="77"/>
      <c r="J14" s="78"/>
      <c r="K14" s="79"/>
      <c r="L14" s="79"/>
      <c r="M14" s="80"/>
      <c r="N14" s="65"/>
      <c r="O14" s="81"/>
      <c r="P14" s="91"/>
      <c r="Q14" s="133"/>
      <c r="R14" s="83"/>
      <c r="S14" s="78">
        <v>284</v>
      </c>
      <c r="T14" s="78"/>
      <c r="U14" s="79"/>
      <c r="V14" s="78"/>
      <c r="W14" s="78"/>
      <c r="X14" s="78"/>
      <c r="Y14" s="78"/>
      <c r="Z14" s="79"/>
      <c r="AA14" s="79"/>
      <c r="AB14" s="79"/>
      <c r="AC14" s="84"/>
      <c r="AE14" s="86">
        <f t="shared" si="4"/>
        <v>0</v>
      </c>
    </row>
    <row r="15" spans="1:31" ht="23.25" customHeight="1">
      <c r="A15" s="6"/>
      <c r="B15" s="134"/>
      <c r="C15" s="135"/>
      <c r="D15" s="136" t="s">
        <v>52</v>
      </c>
      <c r="E15" s="119">
        <f>SUM(E13:E14)</f>
        <v>306</v>
      </c>
      <c r="F15" s="137"/>
      <c r="G15" s="138"/>
      <c r="H15" s="122">
        <f>SUM(H13:H14)</f>
        <v>29620800</v>
      </c>
      <c r="I15" s="139">
        <f>H15*1.07</f>
        <v>31694256</v>
      </c>
      <c r="J15" s="140"/>
      <c r="K15" s="141"/>
      <c r="L15" s="141"/>
      <c r="M15" s="142"/>
      <c r="N15" s="143"/>
      <c r="O15" s="144"/>
      <c r="P15" s="141"/>
      <c r="Q15" s="145"/>
      <c r="R15" s="146"/>
      <c r="S15" s="5">
        <f t="shared" ref="S15:AC15" si="5">SUM(S13:S14)</f>
        <v>306</v>
      </c>
      <c r="T15" s="5">
        <f t="shared" si="5"/>
        <v>0</v>
      </c>
      <c r="U15" s="5">
        <f t="shared" si="5"/>
        <v>0</v>
      </c>
      <c r="V15" s="5">
        <f t="shared" si="5"/>
        <v>0</v>
      </c>
      <c r="W15" s="5">
        <f t="shared" si="5"/>
        <v>0</v>
      </c>
      <c r="X15" s="5">
        <f t="shared" si="5"/>
        <v>0</v>
      </c>
      <c r="Y15" s="5">
        <f t="shared" si="5"/>
        <v>0</v>
      </c>
      <c r="Z15" s="5">
        <f t="shared" si="5"/>
        <v>0</v>
      </c>
      <c r="AA15" s="5">
        <f t="shared" si="5"/>
        <v>0</v>
      </c>
      <c r="AB15" s="5">
        <f t="shared" si="5"/>
        <v>0</v>
      </c>
      <c r="AC15" s="147">
        <f t="shared" si="5"/>
        <v>0</v>
      </c>
      <c r="AE15" s="86">
        <f t="shared" si="4"/>
        <v>0</v>
      </c>
    </row>
    <row r="16" spans="1:31" ht="23.25" customHeight="1">
      <c r="A16" s="4" t="s">
        <v>53</v>
      </c>
      <c r="B16" s="201" t="s">
        <v>54</v>
      </c>
      <c r="C16" s="72" t="s">
        <v>55</v>
      </c>
      <c r="D16" s="73" t="s">
        <v>38</v>
      </c>
      <c r="E16" s="74">
        <v>191</v>
      </c>
      <c r="F16" s="75">
        <f>H16/E16</f>
        <v>132100</v>
      </c>
      <c r="G16" s="76">
        <v>127200</v>
      </c>
      <c r="H16" s="3">
        <v>25231100</v>
      </c>
      <c r="I16" s="113"/>
      <c r="J16" s="88">
        <v>3012</v>
      </c>
      <c r="K16" s="79">
        <v>7514</v>
      </c>
      <c r="L16" s="79">
        <v>200</v>
      </c>
      <c r="M16" s="80" t="s">
        <v>56</v>
      </c>
      <c r="N16" s="65">
        <v>250</v>
      </c>
      <c r="O16" s="203" t="s">
        <v>40</v>
      </c>
      <c r="P16" s="204"/>
      <c r="Q16" s="82" t="s">
        <v>41</v>
      </c>
      <c r="R16" s="83" t="s">
        <v>42</v>
      </c>
      <c r="S16" s="130">
        <v>100</v>
      </c>
      <c r="T16" s="130">
        <v>91</v>
      </c>
      <c r="U16" s="130"/>
      <c r="V16" s="148"/>
      <c r="W16" s="149"/>
      <c r="X16" s="149"/>
      <c r="Y16" s="149"/>
      <c r="Z16" s="130"/>
      <c r="AA16" s="130"/>
      <c r="AB16" s="130"/>
      <c r="AC16" s="150"/>
      <c r="AE16" s="86">
        <f t="shared" ref="AE16:AE21" si="6">SUM(S16:AC16)-E16</f>
        <v>0</v>
      </c>
    </row>
    <row r="17" spans="1:31" ht="23.25" customHeight="1">
      <c r="A17" s="4"/>
      <c r="B17" s="2"/>
      <c r="C17" s="72"/>
      <c r="D17" s="73" t="s">
        <v>45</v>
      </c>
      <c r="E17" s="74">
        <v>336</v>
      </c>
      <c r="F17" s="75">
        <f>H17/E17</f>
        <v>132100</v>
      </c>
      <c r="G17" s="76"/>
      <c r="H17" s="3">
        <v>44385600</v>
      </c>
      <c r="I17" s="113"/>
      <c r="J17" s="88"/>
      <c r="K17" s="79"/>
      <c r="L17" s="79"/>
      <c r="M17" s="89"/>
      <c r="N17" s="65"/>
      <c r="O17" s="81"/>
      <c r="P17" s="91"/>
      <c r="Q17" s="133"/>
      <c r="R17" s="83"/>
      <c r="S17" s="79">
        <v>150</v>
      </c>
      <c r="T17" s="79">
        <v>159</v>
      </c>
      <c r="U17" s="79">
        <v>27</v>
      </c>
      <c r="V17" s="151"/>
      <c r="W17" s="152"/>
      <c r="X17" s="152"/>
      <c r="Y17" s="152"/>
      <c r="Z17" s="79"/>
      <c r="AA17" s="79"/>
      <c r="AB17" s="79"/>
      <c r="AC17" s="84"/>
      <c r="AE17" s="86">
        <f t="shared" si="6"/>
        <v>0</v>
      </c>
    </row>
    <row r="18" spans="1:31" ht="23.25" customHeight="1">
      <c r="A18" s="6"/>
      <c r="B18" s="134"/>
      <c r="C18" s="153" t="s">
        <v>57</v>
      </c>
      <c r="D18" s="136" t="s">
        <v>52</v>
      </c>
      <c r="E18" s="119">
        <f>SUM(E16:E17)</f>
        <v>527</v>
      </c>
      <c r="F18" s="137"/>
      <c r="G18" s="138"/>
      <c r="H18" s="122">
        <f>SUM(H16:H17)</f>
        <v>69616700</v>
      </c>
      <c r="I18" s="139">
        <f>H18*1.07</f>
        <v>74489869</v>
      </c>
      <c r="J18" s="140"/>
      <c r="K18" s="141"/>
      <c r="L18" s="141"/>
      <c r="M18" s="154"/>
      <c r="N18" s="143"/>
      <c r="O18" s="155"/>
      <c r="P18" s="141"/>
      <c r="Q18" s="145"/>
      <c r="R18" s="146"/>
      <c r="S18" s="156">
        <f t="shared" ref="S18:AC18" si="7">SUM(S16:S17)</f>
        <v>250</v>
      </c>
      <c r="T18" s="156">
        <f t="shared" si="7"/>
        <v>250</v>
      </c>
      <c r="U18" s="156">
        <f t="shared" si="7"/>
        <v>27</v>
      </c>
      <c r="V18" s="156">
        <f t="shared" si="7"/>
        <v>0</v>
      </c>
      <c r="W18" s="156">
        <f t="shared" si="7"/>
        <v>0</v>
      </c>
      <c r="X18" s="156">
        <f t="shared" si="7"/>
        <v>0</v>
      </c>
      <c r="Y18" s="156">
        <f t="shared" si="7"/>
        <v>0</v>
      </c>
      <c r="Z18" s="156">
        <f t="shared" si="7"/>
        <v>0</v>
      </c>
      <c r="AA18" s="156">
        <f t="shared" si="7"/>
        <v>0</v>
      </c>
      <c r="AB18" s="156">
        <f t="shared" si="7"/>
        <v>0</v>
      </c>
      <c r="AC18" s="147">
        <f t="shared" si="7"/>
        <v>0</v>
      </c>
      <c r="AE18" s="86">
        <f t="shared" si="6"/>
        <v>0</v>
      </c>
    </row>
    <row r="19" spans="1:31" ht="23.25" customHeight="1">
      <c r="A19" s="4" t="s">
        <v>58</v>
      </c>
      <c r="B19" s="201" t="s">
        <v>59</v>
      </c>
      <c r="C19" s="72" t="s">
        <v>55</v>
      </c>
      <c r="D19" s="73" t="s">
        <v>38</v>
      </c>
      <c r="E19" s="74">
        <v>532</v>
      </c>
      <c r="F19" s="75">
        <f>H19/E19</f>
        <v>194900</v>
      </c>
      <c r="G19" s="76">
        <v>191900</v>
      </c>
      <c r="H19" s="3">
        <v>103686800</v>
      </c>
      <c r="I19" s="113"/>
      <c r="J19" s="78">
        <v>3012</v>
      </c>
      <c r="K19" s="79">
        <v>1945</v>
      </c>
      <c r="L19" s="79">
        <v>200</v>
      </c>
      <c r="M19" s="80" t="s">
        <v>56</v>
      </c>
      <c r="N19" s="65">
        <v>250</v>
      </c>
      <c r="O19" s="203" t="s">
        <v>40</v>
      </c>
      <c r="P19" s="204"/>
      <c r="Q19" s="82" t="s">
        <v>41</v>
      </c>
      <c r="R19" s="83" t="s">
        <v>42</v>
      </c>
      <c r="S19" s="157">
        <v>100</v>
      </c>
      <c r="T19" s="157">
        <v>100</v>
      </c>
      <c r="U19" s="157">
        <v>100</v>
      </c>
      <c r="V19" s="157">
        <v>149</v>
      </c>
      <c r="W19" s="157">
        <v>83</v>
      </c>
      <c r="X19" s="78"/>
      <c r="Y19" s="78"/>
      <c r="Z19" s="79"/>
      <c r="AA19" s="79"/>
      <c r="AB19" s="79"/>
      <c r="AC19" s="84"/>
      <c r="AE19" s="86">
        <f t="shared" si="6"/>
        <v>0</v>
      </c>
    </row>
    <row r="20" spans="1:31" ht="23.25" customHeight="1">
      <c r="A20" s="4"/>
      <c r="B20" s="2"/>
      <c r="C20" s="72"/>
      <c r="D20" s="73" t="s">
        <v>45</v>
      </c>
      <c r="E20" s="74">
        <v>551</v>
      </c>
      <c r="F20" s="75">
        <f>H20/E20</f>
        <v>194900</v>
      </c>
      <c r="G20" s="76"/>
      <c r="H20" s="3">
        <v>107389900</v>
      </c>
      <c r="I20" s="77"/>
      <c r="J20" s="88"/>
      <c r="K20" s="79"/>
      <c r="L20" s="79"/>
      <c r="M20" s="64"/>
      <c r="N20" s="65"/>
      <c r="O20" s="90"/>
      <c r="P20" s="91"/>
      <c r="Q20" s="82"/>
      <c r="R20" s="83"/>
      <c r="S20" s="78">
        <v>150</v>
      </c>
      <c r="T20" s="78">
        <v>150</v>
      </c>
      <c r="U20" s="78">
        <v>150</v>
      </c>
      <c r="V20" s="78">
        <v>101</v>
      </c>
      <c r="W20" s="78"/>
      <c r="X20" s="79"/>
      <c r="Y20" s="79"/>
      <c r="Z20" s="79"/>
      <c r="AA20" s="79"/>
      <c r="AB20" s="79"/>
      <c r="AC20" s="84"/>
      <c r="AE20" s="86">
        <f t="shared" si="6"/>
        <v>0</v>
      </c>
    </row>
    <row r="21" spans="1:31" ht="23.25" customHeight="1">
      <c r="A21" s="11"/>
      <c r="B21" s="13"/>
      <c r="C21" s="153" t="s">
        <v>60</v>
      </c>
      <c r="D21" s="136" t="s">
        <v>52</v>
      </c>
      <c r="E21" s="119">
        <f>SUM(E19:E20)</f>
        <v>1083</v>
      </c>
      <c r="F21" s="137"/>
      <c r="G21" s="138"/>
      <c r="H21" s="122">
        <f>SUM(H19:H20)</f>
        <v>211076700</v>
      </c>
      <c r="I21" s="139">
        <f>H21*1.07</f>
        <v>225852069</v>
      </c>
      <c r="J21" s="140"/>
      <c r="K21" s="141"/>
      <c r="L21" s="141"/>
      <c r="M21" s="158"/>
      <c r="N21" s="143"/>
      <c r="O21" s="159"/>
      <c r="P21" s="102"/>
      <c r="Q21" s="125"/>
      <c r="R21" s="146"/>
      <c r="S21" s="5">
        <f t="shared" ref="S21:AC21" si="8">SUM(S19:S20)</f>
        <v>250</v>
      </c>
      <c r="T21" s="5">
        <f t="shared" si="8"/>
        <v>250</v>
      </c>
      <c r="U21" s="5">
        <f t="shared" si="8"/>
        <v>250</v>
      </c>
      <c r="V21" s="5">
        <f t="shared" si="8"/>
        <v>250</v>
      </c>
      <c r="W21" s="5">
        <f t="shared" si="8"/>
        <v>83</v>
      </c>
      <c r="X21" s="5">
        <f t="shared" si="8"/>
        <v>0</v>
      </c>
      <c r="Y21" s="5">
        <f t="shared" si="8"/>
        <v>0</v>
      </c>
      <c r="Z21" s="5">
        <f t="shared" si="8"/>
        <v>0</v>
      </c>
      <c r="AA21" s="5">
        <f t="shared" si="8"/>
        <v>0</v>
      </c>
      <c r="AB21" s="5">
        <f t="shared" si="8"/>
        <v>0</v>
      </c>
      <c r="AC21" s="147">
        <f t="shared" si="8"/>
        <v>0</v>
      </c>
      <c r="AE21" s="86">
        <f t="shared" si="6"/>
        <v>0</v>
      </c>
    </row>
    <row r="22" spans="1:31" ht="23.25" customHeight="1">
      <c r="A22" s="7" t="s">
        <v>61</v>
      </c>
      <c r="B22" s="2">
        <v>10138</v>
      </c>
      <c r="C22" s="72" t="s">
        <v>62</v>
      </c>
      <c r="D22" s="73" t="s">
        <v>38</v>
      </c>
      <c r="E22" s="74">
        <v>19</v>
      </c>
      <c r="F22" s="75">
        <f>H22/E22</f>
        <v>158500</v>
      </c>
      <c r="G22" s="76">
        <v>146200</v>
      </c>
      <c r="H22" s="3">
        <v>3011500</v>
      </c>
      <c r="I22" s="113"/>
      <c r="J22" s="78">
        <v>268</v>
      </c>
      <c r="K22" s="79">
        <v>500</v>
      </c>
      <c r="L22" s="79">
        <v>200</v>
      </c>
      <c r="M22" s="80" t="s">
        <v>63</v>
      </c>
      <c r="N22" s="65">
        <v>40</v>
      </c>
      <c r="O22" s="227" t="s">
        <v>40</v>
      </c>
      <c r="P22" s="228"/>
      <c r="Q22" s="82" t="s">
        <v>41</v>
      </c>
      <c r="R22" s="83" t="s">
        <v>42</v>
      </c>
      <c r="S22" s="78">
        <v>19</v>
      </c>
      <c r="T22" s="78"/>
      <c r="U22" s="79"/>
      <c r="V22" s="79"/>
      <c r="W22" s="79"/>
      <c r="X22" s="79"/>
      <c r="Y22" s="79"/>
      <c r="Z22" s="79"/>
      <c r="AA22" s="79"/>
      <c r="AB22" s="79"/>
      <c r="AC22" s="84"/>
      <c r="AE22" s="86" t="e">
        <f>SUM(#REF!)-#REF!</f>
        <v>#REF!</v>
      </c>
    </row>
    <row r="23" spans="1:31" ht="23.25" customHeight="1">
      <c r="A23" s="4"/>
      <c r="B23" s="2"/>
      <c r="C23" s="72"/>
      <c r="D23" s="73" t="s">
        <v>45</v>
      </c>
      <c r="E23" s="74">
        <v>66</v>
      </c>
      <c r="F23" s="75">
        <f>H23/E23</f>
        <v>158500</v>
      </c>
      <c r="G23" s="76"/>
      <c r="H23" s="3">
        <v>10461000</v>
      </c>
      <c r="I23" s="113"/>
      <c r="J23" s="78"/>
      <c r="K23" s="79"/>
      <c r="L23" s="79"/>
      <c r="M23" s="80"/>
      <c r="N23" s="65"/>
      <c r="O23" s="81"/>
      <c r="P23" s="91"/>
      <c r="Q23" s="133"/>
      <c r="R23" s="83"/>
      <c r="S23" s="78">
        <v>66</v>
      </c>
      <c r="T23" s="78"/>
      <c r="U23" s="79"/>
      <c r="V23" s="79"/>
      <c r="W23" s="79"/>
      <c r="X23" s="79"/>
      <c r="Y23" s="79"/>
      <c r="Z23" s="79"/>
      <c r="AA23" s="79"/>
      <c r="AB23" s="79"/>
      <c r="AC23" s="84"/>
      <c r="AE23" s="86" t="e">
        <f>SUM(#REF!)-#REF!</f>
        <v>#REF!</v>
      </c>
    </row>
    <row r="24" spans="1:31" ht="23.25" customHeight="1">
      <c r="A24" s="6"/>
      <c r="B24" s="134"/>
      <c r="C24" s="153" t="s">
        <v>57</v>
      </c>
      <c r="D24" s="136" t="s">
        <v>52</v>
      </c>
      <c r="E24" s="119">
        <f>SUM(E22:E23)</f>
        <v>85</v>
      </c>
      <c r="F24" s="137"/>
      <c r="G24" s="138"/>
      <c r="H24" s="122">
        <f>SUM(H22:H23)</f>
        <v>13472500</v>
      </c>
      <c r="I24" s="139">
        <f>H24*1.07</f>
        <v>14415575</v>
      </c>
      <c r="J24" s="140"/>
      <c r="K24" s="141"/>
      <c r="L24" s="141"/>
      <c r="M24" s="158"/>
      <c r="N24" s="143"/>
      <c r="O24" s="144"/>
      <c r="P24" s="141"/>
      <c r="Q24" s="145"/>
      <c r="R24" s="146"/>
      <c r="S24" s="5">
        <f t="shared" ref="S24:AC24" si="9">SUM(S22:S23)</f>
        <v>85</v>
      </c>
      <c r="T24" s="5">
        <f t="shared" si="9"/>
        <v>0</v>
      </c>
      <c r="U24" s="5">
        <f t="shared" si="9"/>
        <v>0</v>
      </c>
      <c r="V24" s="5">
        <f t="shared" si="9"/>
        <v>0</v>
      </c>
      <c r="W24" s="5">
        <f t="shared" si="9"/>
        <v>0</v>
      </c>
      <c r="X24" s="5">
        <f t="shared" si="9"/>
        <v>0</v>
      </c>
      <c r="Y24" s="5">
        <f t="shared" si="9"/>
        <v>0</v>
      </c>
      <c r="Z24" s="5">
        <f t="shared" si="9"/>
        <v>0</v>
      </c>
      <c r="AA24" s="5">
        <f t="shared" si="9"/>
        <v>0</v>
      </c>
      <c r="AB24" s="5">
        <f t="shared" si="9"/>
        <v>0</v>
      </c>
      <c r="AC24" s="147">
        <f t="shared" si="9"/>
        <v>0</v>
      </c>
      <c r="AE24" s="86">
        <f>SUM(S22:AC22)-E22</f>
        <v>0</v>
      </c>
    </row>
    <row r="25" spans="1:31" ht="23.25" customHeight="1">
      <c r="A25" s="4" t="s">
        <v>64</v>
      </c>
      <c r="B25" s="2">
        <v>10139</v>
      </c>
      <c r="C25" s="72" t="s">
        <v>62</v>
      </c>
      <c r="D25" s="73" t="s">
        <v>38</v>
      </c>
      <c r="E25" s="74">
        <v>56</v>
      </c>
      <c r="F25" s="75">
        <f>H25/E25</f>
        <v>216400</v>
      </c>
      <c r="G25" s="76">
        <v>197100</v>
      </c>
      <c r="H25" s="3">
        <v>12118400</v>
      </c>
      <c r="I25" s="77"/>
      <c r="J25" s="78">
        <v>486</v>
      </c>
      <c r="K25" s="79">
        <v>554</v>
      </c>
      <c r="L25" s="79">
        <v>200</v>
      </c>
      <c r="M25" s="80" t="s">
        <v>65</v>
      </c>
      <c r="N25" s="65">
        <v>60</v>
      </c>
      <c r="O25" s="203" t="s">
        <v>40</v>
      </c>
      <c r="P25" s="204"/>
      <c r="Q25" s="82" t="s">
        <v>41</v>
      </c>
      <c r="R25" s="83" t="s">
        <v>42</v>
      </c>
      <c r="S25" s="78">
        <v>56</v>
      </c>
      <c r="T25" s="79"/>
      <c r="U25" s="79"/>
      <c r="V25" s="79"/>
      <c r="W25" s="79"/>
      <c r="X25" s="79"/>
      <c r="Y25" s="79"/>
      <c r="Z25" s="79"/>
      <c r="AA25" s="79"/>
      <c r="AB25" s="79"/>
      <c r="AC25" s="84"/>
      <c r="AE25" s="86"/>
    </row>
    <row r="26" spans="1:31" ht="23.25" customHeight="1">
      <c r="A26" s="10"/>
      <c r="B26" s="9"/>
      <c r="C26" s="72"/>
      <c r="D26" s="73" t="s">
        <v>45</v>
      </c>
      <c r="E26" s="74">
        <v>28</v>
      </c>
      <c r="F26" s="75">
        <f>H26/E26</f>
        <v>216400</v>
      </c>
      <c r="G26" s="76"/>
      <c r="H26" s="3">
        <v>6059200</v>
      </c>
      <c r="I26" s="77"/>
      <c r="J26" s="88"/>
      <c r="K26" s="79"/>
      <c r="L26" s="79"/>
      <c r="M26" s="89"/>
      <c r="N26" s="65"/>
      <c r="O26" s="160"/>
      <c r="P26" s="79"/>
      <c r="Q26" s="161"/>
      <c r="R26" s="162"/>
      <c r="S26" s="78">
        <v>28</v>
      </c>
      <c r="T26" s="79"/>
      <c r="U26" s="79"/>
      <c r="V26" s="79"/>
      <c r="W26" s="79"/>
      <c r="X26" s="79"/>
      <c r="Y26" s="79"/>
      <c r="Z26" s="79"/>
      <c r="AA26" s="79"/>
      <c r="AB26" s="79"/>
      <c r="AC26" s="84"/>
      <c r="AE26" s="86" t="e">
        <f>SUM(#REF!)-#REF!</f>
        <v>#REF!</v>
      </c>
    </row>
    <row r="27" spans="1:31" ht="23.25" customHeight="1">
      <c r="A27" s="10"/>
      <c r="B27" s="9"/>
      <c r="C27" s="163" t="s">
        <v>60</v>
      </c>
      <c r="D27" s="136" t="s">
        <v>52</v>
      </c>
      <c r="E27" s="119">
        <f>SUM(E25:E26)</f>
        <v>84</v>
      </c>
      <c r="F27" s="137"/>
      <c r="G27" s="138"/>
      <c r="H27" s="122">
        <f>SUM(H25:H26)</f>
        <v>18177600</v>
      </c>
      <c r="I27" s="164">
        <f>H27*1.07</f>
        <v>19450032</v>
      </c>
      <c r="J27" s="88"/>
      <c r="K27" s="79"/>
      <c r="L27" s="79"/>
      <c r="M27" s="114"/>
      <c r="N27" s="65"/>
      <c r="O27" s="124"/>
      <c r="P27" s="165"/>
      <c r="Q27" s="166"/>
      <c r="R27" s="167"/>
      <c r="S27" s="5">
        <f t="shared" ref="S27:AC27" si="10">SUM(S25:S26)</f>
        <v>84</v>
      </c>
      <c r="T27" s="5">
        <f t="shared" si="10"/>
        <v>0</v>
      </c>
      <c r="U27" s="168">
        <f t="shared" si="10"/>
        <v>0</v>
      </c>
      <c r="V27" s="168">
        <f t="shared" si="10"/>
        <v>0</v>
      </c>
      <c r="W27" s="169">
        <f t="shared" si="10"/>
        <v>0</v>
      </c>
      <c r="X27" s="170">
        <f t="shared" si="10"/>
        <v>0</v>
      </c>
      <c r="Y27" s="170">
        <f t="shared" si="10"/>
        <v>0</v>
      </c>
      <c r="Z27" s="5">
        <f t="shared" si="10"/>
        <v>0</v>
      </c>
      <c r="AA27" s="5">
        <f t="shared" si="10"/>
        <v>0</v>
      </c>
      <c r="AB27" s="156">
        <f t="shared" si="10"/>
        <v>0</v>
      </c>
      <c r="AC27" s="147">
        <f t="shared" si="10"/>
        <v>0</v>
      </c>
      <c r="AE27" s="86">
        <f>SUM(S25:AC25)-E25</f>
        <v>0</v>
      </c>
    </row>
    <row r="28" spans="1:31" ht="23.25" customHeight="1">
      <c r="A28" s="171"/>
      <c r="B28" s="172"/>
      <c r="C28" s="173"/>
      <c r="D28" s="174"/>
      <c r="E28" s="175"/>
      <c r="F28" s="176"/>
      <c r="G28" s="177"/>
      <c r="H28" s="178">
        <f>SUM(H27,H24,H21,H18,H15,H12)</f>
        <v>570690300</v>
      </c>
      <c r="I28" s="179">
        <f>SUM(I27,I24,I21,I18,I15,I12)</f>
        <v>610638621</v>
      </c>
      <c r="J28" s="180"/>
      <c r="K28" s="181"/>
      <c r="L28" s="182"/>
      <c r="M28" s="183"/>
      <c r="N28" s="184"/>
      <c r="O28" s="185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E28" s="86" t="e">
        <f>SUM(#REF!)-#REF!</f>
        <v>#REF!</v>
      </c>
    </row>
    <row r="29" spans="1:31" ht="23.25" customHeight="1">
      <c r="G29" s="192"/>
      <c r="K29" s="195"/>
      <c r="L29" s="161"/>
      <c r="N29" s="194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E29" s="86" t="e">
        <f>SUM(#REF!)-#REF!</f>
        <v>#REF!</v>
      </c>
    </row>
  </sheetData>
  <autoFilter ref="A5:AC29" xr:uid="{00000000-0009-0000-0000-000000000000}"/>
  <mergeCells count="16">
    <mergeCell ref="O13:P13"/>
    <mergeCell ref="O16:P16"/>
    <mergeCell ref="O19:P19"/>
    <mergeCell ref="O22:P22"/>
    <mergeCell ref="O25:P25"/>
    <mergeCell ref="O9:P9"/>
    <mergeCell ref="A2:A4"/>
    <mergeCell ref="B2:B4"/>
    <mergeCell ref="F2:F4"/>
    <mergeCell ref="I2:I4"/>
    <mergeCell ref="L2:L4"/>
    <mergeCell ref="M2:M4"/>
    <mergeCell ref="O2:AC2"/>
    <mergeCell ref="O3:Q3"/>
    <mergeCell ref="S3:AC3"/>
    <mergeCell ref="O6:P6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66" fitToHeight="0" orientation="landscape" r:id="rId1"/>
  <headerFooter alignWithMargins="0">
    <oddHeader>&amp;Rหน้าที่ &amp;P จาก &amp;N</oddHeader>
    <oddFooter>&amp;F</oddFooter>
  </headerFooter>
  <rowBreaks count="1" manualBreakCount="1">
    <brk id="18" max="2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pimonwan chalermrit</dc:creator>
  <cp:keywords/>
  <dc:description/>
  <cp:lastModifiedBy>Anongnart Anantasirirat</cp:lastModifiedBy>
  <cp:revision/>
  <dcterms:created xsi:type="dcterms:W3CDTF">2022-06-17T02:33:42Z</dcterms:created>
  <dcterms:modified xsi:type="dcterms:W3CDTF">2026-05-15T03:47:02Z</dcterms:modified>
  <cp:category/>
  <cp:contentStatus/>
</cp:coreProperties>
</file>
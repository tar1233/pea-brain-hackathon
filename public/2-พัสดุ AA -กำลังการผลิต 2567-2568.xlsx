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501\Downloads\"/>
    </mc:Choice>
  </mc:AlternateContent>
  <xr:revisionPtr revIDLastSave="113" documentId="13_ncr:1_{8879C74A-A55C-48F0-B6CE-5FB846E4364D}" xr6:coauthVersionLast="47" xr6:coauthVersionMax="47" xr10:uidLastSave="{9AB54AF3-4A2F-4BCE-AE6A-2854BC1467DE}"/>
  <bookViews>
    <workbookView xWindow="0" yWindow="0" windowWidth="26083" windowHeight="10623" activeTab="1" xr2:uid="{4E299700-4CF6-44F1-8D24-0821149E42BE}"/>
  </bookViews>
  <sheets>
    <sheet name="2567" sheetId="11" r:id="rId1"/>
    <sheet name="2568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2" l="1"/>
  <c r="Q6" i="12"/>
  <c r="P8" i="12"/>
  <c r="Q8" i="12"/>
  <c r="P10" i="12"/>
  <c r="Q10" i="12"/>
  <c r="P12" i="12"/>
  <c r="Q12" i="12"/>
  <c r="P14" i="12"/>
  <c r="Q14" i="12"/>
  <c r="P16" i="12"/>
  <c r="Q16" i="12"/>
  <c r="P18" i="12"/>
  <c r="Q18" i="12"/>
  <c r="P20" i="12"/>
  <c r="Q20" i="12"/>
  <c r="P22" i="12"/>
  <c r="Q22" i="12"/>
  <c r="P24" i="12"/>
  <c r="Q24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8" i="12"/>
  <c r="Q28" i="12"/>
  <c r="P30" i="12"/>
  <c r="Q30" i="12"/>
  <c r="P32" i="12"/>
  <c r="Q32" i="12"/>
  <c r="P34" i="12"/>
  <c r="Q34" i="12"/>
  <c r="P26" i="12" l="1"/>
  <c r="N26" i="11"/>
  <c r="M26" i="11"/>
  <c r="L26" i="11"/>
  <c r="K26" i="11"/>
  <c r="J26" i="11"/>
  <c r="I26" i="11"/>
  <c r="H26" i="11"/>
  <c r="G26" i="11"/>
  <c r="F26" i="11"/>
  <c r="E26" i="11"/>
  <c r="D26" i="11"/>
  <c r="C26" i="11"/>
  <c r="P24" i="11"/>
  <c r="O24" i="11"/>
  <c r="P22" i="11"/>
  <c r="O22" i="11"/>
  <c r="P20" i="11"/>
  <c r="O20" i="11"/>
  <c r="P18" i="11"/>
  <c r="O18" i="11"/>
  <c r="P16" i="11"/>
  <c r="O16" i="11"/>
  <c r="P14" i="11"/>
  <c r="O14" i="11"/>
  <c r="P12" i="11"/>
  <c r="O12" i="11"/>
  <c r="P10" i="11"/>
  <c r="O10" i="11"/>
  <c r="P8" i="11"/>
  <c r="O8" i="11"/>
  <c r="P6" i="11"/>
  <c r="O6" i="11"/>
  <c r="O26" i="11" l="1"/>
</calcChain>
</file>

<file path=xl/sharedStrings.xml><?xml version="1.0" encoding="utf-8"?>
<sst xmlns="http://schemas.openxmlformats.org/spreadsheetml/2006/main" count="107" uniqueCount="41">
  <si>
    <t xml:space="preserve">ข้อมูลกำลังการผลิตพัสดุต่อเดือน ของบริษัทที่เป็นผู้เสนอราคากับ กฟภ. ปี 2566  </t>
  </si>
  <si>
    <t>ประเภทพัสดุ : หม้อแปลงไฟฟ้า</t>
  </si>
  <si>
    <t>1</t>
  </si>
  <si>
    <t>ณ วันที่ 12 มิ.ย. 2566</t>
  </si>
  <si>
    <t>พัสดุ</t>
  </si>
  <si>
    <t>บริษัท</t>
  </si>
  <si>
    <t>ค่าเฉลี่ย</t>
  </si>
  <si>
    <t>กำลังการผลิตต่ำสุด</t>
  </si>
  <si>
    <t>R/M (กวผ.แจ้ง)</t>
  </si>
  <si>
    <t>TM</t>
  </si>
  <si>
    <t>EK</t>
  </si>
  <si>
    <t>SE</t>
  </si>
  <si>
    <t>QT</t>
  </si>
  <si>
    <t>CH</t>
  </si>
  <si>
    <t>CC</t>
  </si>
  <si>
    <t>TF</t>
  </si>
  <si>
    <t>TR</t>
  </si>
  <si>
    <t>3T</t>
  </si>
  <si>
    <t>PR</t>
  </si>
  <si>
    <t>VI</t>
  </si>
  <si>
    <t>AS</t>
  </si>
  <si>
    <t>00011</t>
  </si>
  <si>
    <t>00206</t>
  </si>
  <si>
    <t>10066</t>
  </si>
  <si>
    <t>10067</t>
  </si>
  <si>
    <t>10068</t>
  </si>
  <si>
    <t>10069</t>
  </si>
  <si>
    <t>10138</t>
  </si>
  <si>
    <t>10139</t>
  </si>
  <si>
    <t>10140</t>
  </si>
  <si>
    <t>10141</t>
  </si>
  <si>
    <t xml:space="preserve">ข้อมูลกำลังการผลิตพัสดุต่อเดือน ของบริษัทที่เป็นผู้เสนอราคากับ กฟภ. ปี 2567 (ใช้ทำแผนพัสดุหลักปี 2568)  </t>
  </si>
  <si>
    <t>ณ วันที่ 20 มิ.ย. 2567</t>
  </si>
  <si>
    <t>TP</t>
  </si>
  <si>
    <t>-</t>
  </si>
  <si>
    <t>ยังไม่จำหน่าย</t>
  </si>
  <si>
    <t xml:space="preserve"> -</t>
  </si>
  <si>
    <t>10702</t>
  </si>
  <si>
    <t>10703</t>
  </si>
  <si>
    <t>10712</t>
  </si>
  <si>
    <t>10713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</si>
</sst>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>
    <font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b/>
      <sz val="15"/>
      <color rgb="FFC00000"/>
      <name val="TH SarabunPSK"/>
      <family val="2"/>
    </font>
    <font>
      <sz val="16"/>
      <color rgb="FF002060"/>
      <name val="TH SarabunPSK"/>
      <family val="2"/>
    </font>
    <font>
      <sz val="16"/>
      <color theme="0" tint="-0.14999847407452621"/>
      <name val="TH SarabunPSK"/>
      <family val="2"/>
      <charset val="222"/>
    </font>
    <font>
      <sz val="14"/>
      <color theme="1" tint="0.34998626667073579"/>
      <name val="TH SarabunPSK"/>
      <family val="2"/>
      <charset val="222"/>
    </font>
    <font>
      <sz val="16"/>
      <color rgb="FF0070C0"/>
      <name val="TH SarabunPSK"/>
      <family val="2"/>
      <charset val="222"/>
    </font>
    <font>
      <sz val="16"/>
      <color rgb="FFC00000"/>
      <name val="TH SarabunPSK"/>
      <family val="2"/>
    </font>
    <font>
      <b/>
      <sz val="16"/>
      <color theme="0" tint="-0.249977111117893"/>
      <name val="TH SarabunPSK"/>
      <family val="2"/>
    </font>
    <font>
      <b/>
      <sz val="16"/>
      <color theme="0" tint="-0.14999847407452621"/>
      <name val="TH SarabunPSK"/>
      <family val="2"/>
    </font>
    <font>
      <b/>
      <sz val="14"/>
      <color rgb="FFFF5B5B"/>
      <name val="TH SarabunPSK"/>
      <family val="2"/>
    </font>
    <font>
      <b/>
      <sz val="16"/>
      <color rgb="FFC00000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49" fontId="0" fillId="0" borderId="0" xfId="1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3" fontId="5" fillId="3" borderId="4" xfId="1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5" fillId="6" borderId="4" xfId="0" applyNumberFormat="1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3" fontId="2" fillId="0" borderId="4" xfId="1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2" fillId="0" borderId="5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2" xfId="0" applyFont="1" applyBorder="1"/>
    <xf numFmtId="0" fontId="0" fillId="7" borderId="4" xfId="0" applyFill="1" applyBorder="1" applyAlignment="1">
      <alignment horizontal="center"/>
    </xf>
    <xf numFmtId="49" fontId="4" fillId="7" borderId="4" xfId="1" applyNumberFormat="1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49" fontId="8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3" fontId="10" fillId="0" borderId="5" xfId="1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8" borderId="4" xfId="0" applyFill="1" applyBorder="1" applyAlignment="1">
      <alignment horizontal="center"/>
    </xf>
    <xf numFmtId="49" fontId="4" fillId="8" borderId="4" xfId="1" applyNumberFormat="1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" xfId="0" quotePrefix="1" applyBorder="1"/>
    <xf numFmtId="0" fontId="13" fillId="7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5B5B"/>
      <color rgb="FFF7F7F7"/>
      <color rgb="FFF1F7ED"/>
      <color rgb="FFEAF3FA"/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90A5-4837-4C72-A9EA-85957DDC750D}">
  <sheetPr>
    <pageSetUpPr fitToPage="1"/>
  </sheetPr>
  <dimension ref="A1:Q26"/>
  <sheetViews>
    <sheetView showGridLines="0" topLeftCell="A10" zoomScale="90" zoomScaleNormal="90" workbookViewId="0">
      <selection activeCell="D8" sqref="D8"/>
    </sheetView>
  </sheetViews>
  <sheetFormatPr defaultRowHeight="21.2"/>
  <cols>
    <col min="1" max="1" width="4.25" style="1" customWidth="1"/>
    <col min="2" max="2" width="38.875" customWidth="1"/>
    <col min="3" max="3" width="13.875" style="2" customWidth="1"/>
    <col min="4" max="8" width="13.625" customWidth="1"/>
    <col min="9" max="9" width="13.625" style="1" customWidth="1"/>
    <col min="10" max="14" width="13.625" customWidth="1"/>
    <col min="15" max="15" width="9.625" customWidth="1"/>
    <col min="16" max="16" width="11" customWidth="1"/>
    <col min="17" max="17" width="12" customWidth="1"/>
  </cols>
  <sheetData>
    <row r="1" spans="1:17" ht="35.450000000000003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25.9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>
      <c r="C3" s="19" t="s">
        <v>2</v>
      </c>
      <c r="D3" s="20">
        <v>2</v>
      </c>
      <c r="E3" s="20">
        <v>3</v>
      </c>
      <c r="F3" s="20">
        <v>4</v>
      </c>
      <c r="G3" s="20">
        <v>5</v>
      </c>
      <c r="H3" s="20">
        <v>6</v>
      </c>
      <c r="I3" s="20">
        <v>7</v>
      </c>
      <c r="J3" s="20">
        <v>8</v>
      </c>
      <c r="K3" s="20">
        <v>9</v>
      </c>
      <c r="L3" s="20">
        <v>10</v>
      </c>
      <c r="M3" s="20">
        <v>11</v>
      </c>
      <c r="N3" s="20">
        <v>12</v>
      </c>
      <c r="O3" s="1"/>
      <c r="P3" s="37" t="s">
        <v>3</v>
      </c>
      <c r="Q3" s="37"/>
    </row>
    <row r="4" spans="1:17" ht="24">
      <c r="A4" s="16"/>
      <c r="B4" s="38" t="s">
        <v>4</v>
      </c>
      <c r="C4" s="17" t="s">
        <v>5</v>
      </c>
      <c r="D4" s="17" t="s">
        <v>5</v>
      </c>
      <c r="E4" s="17" t="s">
        <v>5</v>
      </c>
      <c r="F4" s="17" t="s">
        <v>5</v>
      </c>
      <c r="G4" s="17" t="s">
        <v>5</v>
      </c>
      <c r="H4" s="17" t="s">
        <v>5</v>
      </c>
      <c r="I4" s="17" t="s">
        <v>5</v>
      </c>
      <c r="J4" s="17" t="s">
        <v>5</v>
      </c>
      <c r="K4" s="17" t="s">
        <v>5</v>
      </c>
      <c r="L4" s="17" t="s">
        <v>5</v>
      </c>
      <c r="M4" s="17" t="s">
        <v>5</v>
      </c>
      <c r="N4" s="17" t="s">
        <v>5</v>
      </c>
      <c r="O4" s="40" t="s">
        <v>6</v>
      </c>
      <c r="P4" s="42" t="s">
        <v>7</v>
      </c>
      <c r="Q4" s="44" t="s">
        <v>8</v>
      </c>
    </row>
    <row r="5" spans="1:17" ht="24">
      <c r="A5" s="18"/>
      <c r="B5" s="39"/>
      <c r="C5" s="17" t="s">
        <v>9</v>
      </c>
      <c r="D5" s="33" t="s">
        <v>10</v>
      </c>
      <c r="E5" s="33" t="s">
        <v>11</v>
      </c>
      <c r="F5" s="33" t="s">
        <v>12</v>
      </c>
      <c r="G5" s="34" t="s">
        <v>13</v>
      </c>
      <c r="H5" s="33" t="s">
        <v>14</v>
      </c>
      <c r="I5" s="33" t="s">
        <v>15</v>
      </c>
      <c r="J5" s="33" t="s">
        <v>16</v>
      </c>
      <c r="K5" s="33" t="s">
        <v>17</v>
      </c>
      <c r="L5" s="33" t="s">
        <v>18</v>
      </c>
      <c r="M5" s="33" t="s">
        <v>19</v>
      </c>
      <c r="N5" s="33" t="s">
        <v>20</v>
      </c>
      <c r="O5" s="41"/>
      <c r="P5" s="43"/>
      <c r="Q5" s="45"/>
    </row>
    <row r="6" spans="1:17">
      <c r="A6" s="3">
        <v>1</v>
      </c>
      <c r="B6" s="32" t="s">
        <v>21</v>
      </c>
      <c r="C6" s="11">
        <v>2000</v>
      </c>
      <c r="D6" s="11">
        <v>1000</v>
      </c>
      <c r="E6" s="11">
        <v>1000</v>
      </c>
      <c r="F6" s="12">
        <v>600</v>
      </c>
      <c r="G6" s="12">
        <v>720</v>
      </c>
      <c r="H6" s="11">
        <v>800</v>
      </c>
      <c r="I6" s="12">
        <v>800</v>
      </c>
      <c r="J6" s="11">
        <v>600</v>
      </c>
      <c r="K6" s="11">
        <v>600</v>
      </c>
      <c r="L6" s="12">
        <v>660</v>
      </c>
      <c r="M6" s="11">
        <v>350</v>
      </c>
      <c r="N6" s="11">
        <v>300</v>
      </c>
      <c r="O6" s="6">
        <f>AVERAGE(C6:N6)</f>
        <v>785.83333333333337</v>
      </c>
      <c r="P6" s="9">
        <f>MIN(C6:N6)</f>
        <v>300</v>
      </c>
      <c r="Q6" s="22">
        <v>1200</v>
      </c>
    </row>
    <row r="7" spans="1:17">
      <c r="A7" s="4"/>
      <c r="B7" s="15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7"/>
      <c r="P7" s="10"/>
      <c r="Q7" s="23"/>
    </row>
    <row r="8" spans="1:17">
      <c r="A8" s="3">
        <v>2</v>
      </c>
      <c r="B8" s="32" t="s">
        <v>22</v>
      </c>
      <c r="C8" s="11">
        <v>2000</v>
      </c>
      <c r="D8" s="11">
        <v>1000</v>
      </c>
      <c r="E8" s="11">
        <v>1000</v>
      </c>
      <c r="F8" s="12">
        <v>600</v>
      </c>
      <c r="G8" s="12">
        <v>720</v>
      </c>
      <c r="H8" s="11">
        <v>800</v>
      </c>
      <c r="I8" s="12">
        <v>800</v>
      </c>
      <c r="J8" s="11">
        <v>600</v>
      </c>
      <c r="K8" s="11">
        <v>600</v>
      </c>
      <c r="L8" s="12">
        <v>660</v>
      </c>
      <c r="M8" s="11">
        <v>350</v>
      </c>
      <c r="N8" s="11">
        <v>300</v>
      </c>
      <c r="O8" s="6">
        <f>AVERAGE(C8:N8)</f>
        <v>785.83333333333337</v>
      </c>
      <c r="P8" s="9">
        <f>MIN(C8:N8)</f>
        <v>300</v>
      </c>
      <c r="Q8" s="22">
        <v>240</v>
      </c>
    </row>
    <row r="9" spans="1:17">
      <c r="A9" s="4"/>
      <c r="B9" s="15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7"/>
      <c r="P9" s="10"/>
      <c r="Q9" s="23"/>
    </row>
    <row r="10" spans="1:17">
      <c r="A10" s="3">
        <v>3</v>
      </c>
      <c r="B10" s="32" t="s">
        <v>23</v>
      </c>
      <c r="C10" s="11">
        <v>1000</v>
      </c>
      <c r="D10" s="12">
        <v>600</v>
      </c>
      <c r="E10" s="11">
        <v>600</v>
      </c>
      <c r="F10" s="12">
        <v>600</v>
      </c>
      <c r="G10" s="12">
        <v>480</v>
      </c>
      <c r="H10" s="11">
        <v>400</v>
      </c>
      <c r="I10" s="12">
        <v>500</v>
      </c>
      <c r="J10" s="11">
        <v>500</v>
      </c>
      <c r="K10" s="11">
        <v>300</v>
      </c>
      <c r="L10" s="12">
        <v>240</v>
      </c>
      <c r="M10" s="11">
        <v>270</v>
      </c>
      <c r="N10" s="11">
        <v>200</v>
      </c>
      <c r="O10" s="6">
        <f>AVERAGE(C10:N10)</f>
        <v>474.16666666666669</v>
      </c>
      <c r="P10" s="9">
        <f>MIN(C10:N10)</f>
        <v>200</v>
      </c>
      <c r="Q10" s="22">
        <v>340</v>
      </c>
    </row>
    <row r="11" spans="1:17">
      <c r="A11" s="4"/>
      <c r="B11" s="15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7"/>
      <c r="P11" s="10"/>
      <c r="Q11" s="23"/>
    </row>
    <row r="12" spans="1:17">
      <c r="A12" s="3">
        <v>4</v>
      </c>
      <c r="B12" s="32" t="s">
        <v>24</v>
      </c>
      <c r="C12" s="11">
        <v>1000</v>
      </c>
      <c r="D12" s="12">
        <v>600</v>
      </c>
      <c r="E12" s="11">
        <v>600</v>
      </c>
      <c r="F12" s="12">
        <v>500</v>
      </c>
      <c r="G12" s="12">
        <v>480</v>
      </c>
      <c r="H12" s="11">
        <v>400</v>
      </c>
      <c r="I12" s="12">
        <v>400</v>
      </c>
      <c r="J12" s="11">
        <v>450</v>
      </c>
      <c r="K12" s="11">
        <v>300</v>
      </c>
      <c r="L12" s="12">
        <v>240</v>
      </c>
      <c r="M12" s="11">
        <v>270</v>
      </c>
      <c r="N12" s="11">
        <v>200</v>
      </c>
      <c r="O12" s="6">
        <f>AVERAGE(C12:N12)</f>
        <v>453.33333333333331</v>
      </c>
      <c r="P12" s="9">
        <f>MIN(C12:N12)</f>
        <v>200</v>
      </c>
      <c r="Q12" s="22">
        <v>550</v>
      </c>
    </row>
    <row r="13" spans="1:17">
      <c r="A13" s="4"/>
      <c r="B13" s="15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7"/>
      <c r="P13" s="10"/>
      <c r="Q13" s="23"/>
    </row>
    <row r="14" spans="1:17">
      <c r="A14" s="3">
        <v>5</v>
      </c>
      <c r="B14" s="32" t="s">
        <v>25</v>
      </c>
      <c r="C14" s="11">
        <v>1000</v>
      </c>
      <c r="D14" s="12">
        <v>600</v>
      </c>
      <c r="E14" s="11">
        <v>600</v>
      </c>
      <c r="F14" s="12">
        <v>500</v>
      </c>
      <c r="G14" s="12">
        <v>480</v>
      </c>
      <c r="H14" s="11">
        <v>400</v>
      </c>
      <c r="I14" s="12">
        <v>300</v>
      </c>
      <c r="J14" s="11">
        <v>400</v>
      </c>
      <c r="K14" s="11">
        <v>250</v>
      </c>
      <c r="L14" s="12">
        <v>240</v>
      </c>
      <c r="M14" s="11">
        <v>270</v>
      </c>
      <c r="N14" s="11">
        <v>200</v>
      </c>
      <c r="O14" s="6">
        <f>AVERAGE(C14:N14)</f>
        <v>436.66666666666669</v>
      </c>
      <c r="P14" s="9">
        <f>MIN(C14:N14)</f>
        <v>200</v>
      </c>
      <c r="Q14" s="22">
        <v>370</v>
      </c>
    </row>
    <row r="15" spans="1:17">
      <c r="A15" s="4"/>
      <c r="B15" s="15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7"/>
      <c r="P15" s="10"/>
      <c r="Q15" s="23"/>
    </row>
    <row r="16" spans="1:17">
      <c r="A16" s="5">
        <v>6</v>
      </c>
      <c r="B16" s="32" t="s">
        <v>26</v>
      </c>
      <c r="C16" s="11">
        <v>1000</v>
      </c>
      <c r="D16" s="12">
        <v>600</v>
      </c>
      <c r="E16" s="11">
        <v>400</v>
      </c>
      <c r="F16" s="12">
        <v>450</v>
      </c>
      <c r="G16" s="12">
        <v>420</v>
      </c>
      <c r="H16" s="11">
        <v>400</v>
      </c>
      <c r="I16" s="12">
        <v>200</v>
      </c>
      <c r="J16" s="11">
        <v>360</v>
      </c>
      <c r="K16" s="11">
        <v>250</v>
      </c>
      <c r="L16" s="12">
        <v>160</v>
      </c>
      <c r="M16" s="11">
        <v>230</v>
      </c>
      <c r="N16" s="11">
        <v>150</v>
      </c>
      <c r="O16" s="6">
        <f>AVERAGE(C16:N16)</f>
        <v>385</v>
      </c>
      <c r="P16" s="9">
        <f>MIN(C16:N16)</f>
        <v>150</v>
      </c>
      <c r="Q16" s="22">
        <v>150</v>
      </c>
    </row>
    <row r="17" spans="1:17">
      <c r="A17" s="5"/>
      <c r="B17" s="15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7"/>
      <c r="P17" s="10"/>
      <c r="Q17" s="23"/>
    </row>
    <row r="18" spans="1:17">
      <c r="A18" s="3">
        <v>7</v>
      </c>
      <c r="B18" s="32" t="s">
        <v>27</v>
      </c>
      <c r="C18" s="11">
        <v>1000</v>
      </c>
      <c r="D18" s="12">
        <v>600</v>
      </c>
      <c r="E18" s="11">
        <v>600</v>
      </c>
      <c r="F18" s="12">
        <v>600</v>
      </c>
      <c r="G18" s="12">
        <v>420</v>
      </c>
      <c r="H18" s="11">
        <v>400</v>
      </c>
      <c r="I18" s="12">
        <v>500</v>
      </c>
      <c r="J18" s="11">
        <v>450</v>
      </c>
      <c r="K18" s="11">
        <v>300</v>
      </c>
      <c r="L18" s="12">
        <v>220</v>
      </c>
      <c r="M18" s="11">
        <v>230</v>
      </c>
      <c r="N18" s="11">
        <v>200</v>
      </c>
      <c r="O18" s="6">
        <f>AVERAGE(C18:N18)</f>
        <v>460</v>
      </c>
      <c r="P18" s="9">
        <f>MIN(C18:N18)</f>
        <v>200</v>
      </c>
      <c r="Q18" s="22">
        <v>50</v>
      </c>
    </row>
    <row r="19" spans="1:17">
      <c r="A19" s="4"/>
      <c r="B19" s="15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7"/>
      <c r="P19" s="10"/>
      <c r="Q19" s="23"/>
    </row>
    <row r="20" spans="1:17">
      <c r="A20" s="5">
        <v>8</v>
      </c>
      <c r="B20" s="32" t="s">
        <v>28</v>
      </c>
      <c r="C20" s="11">
        <v>1000</v>
      </c>
      <c r="D20" s="12">
        <v>600</v>
      </c>
      <c r="E20" s="11">
        <v>600</v>
      </c>
      <c r="F20" s="12">
        <v>500</v>
      </c>
      <c r="G20" s="12">
        <v>420</v>
      </c>
      <c r="H20" s="11">
        <v>400</v>
      </c>
      <c r="I20" s="12">
        <v>400</v>
      </c>
      <c r="J20" s="11">
        <v>400</v>
      </c>
      <c r="K20" s="11">
        <v>300</v>
      </c>
      <c r="L20" s="12">
        <v>200</v>
      </c>
      <c r="M20" s="11">
        <v>230</v>
      </c>
      <c r="N20" s="11">
        <v>200</v>
      </c>
      <c r="O20" s="6">
        <f>AVERAGE(C20:N20)</f>
        <v>437.5</v>
      </c>
      <c r="P20" s="9">
        <f>MIN(C20:N20)</f>
        <v>200</v>
      </c>
      <c r="Q20" s="22">
        <v>100</v>
      </c>
    </row>
    <row r="21" spans="1:17">
      <c r="A21" s="5"/>
      <c r="B21" s="15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7"/>
      <c r="P21" s="10"/>
      <c r="Q21" s="23"/>
    </row>
    <row r="22" spans="1:17">
      <c r="A22" s="3">
        <v>9</v>
      </c>
      <c r="B22" s="32" t="s">
        <v>29</v>
      </c>
      <c r="C22" s="11">
        <v>1000</v>
      </c>
      <c r="D22" s="12">
        <v>600</v>
      </c>
      <c r="E22" s="11">
        <v>600</v>
      </c>
      <c r="F22" s="12">
        <v>500</v>
      </c>
      <c r="G22" s="12">
        <v>420</v>
      </c>
      <c r="H22" s="11">
        <v>400</v>
      </c>
      <c r="I22" s="12">
        <v>300</v>
      </c>
      <c r="J22" s="11">
        <v>360</v>
      </c>
      <c r="K22" s="11">
        <v>250</v>
      </c>
      <c r="L22" s="12">
        <v>180</v>
      </c>
      <c r="M22" s="11">
        <v>230</v>
      </c>
      <c r="N22" s="11">
        <v>150</v>
      </c>
      <c r="O22" s="6">
        <f>AVERAGE(C22:N22)</f>
        <v>415.83333333333331</v>
      </c>
      <c r="P22" s="9">
        <f>MIN(C22:N22)</f>
        <v>150</v>
      </c>
      <c r="Q22" s="22">
        <v>70</v>
      </c>
    </row>
    <row r="23" spans="1:17">
      <c r="A23" s="4"/>
      <c r="B23" s="15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7"/>
      <c r="P23" s="10"/>
      <c r="Q23" s="23"/>
    </row>
    <row r="24" spans="1:17">
      <c r="A24" s="5">
        <v>10</v>
      </c>
      <c r="B24" s="32" t="s">
        <v>30</v>
      </c>
      <c r="C24" s="11">
        <v>1000</v>
      </c>
      <c r="D24" s="12">
        <v>600</v>
      </c>
      <c r="E24" s="11">
        <v>400</v>
      </c>
      <c r="F24" s="12">
        <v>450</v>
      </c>
      <c r="G24" s="12">
        <v>420</v>
      </c>
      <c r="H24" s="11">
        <v>400</v>
      </c>
      <c r="I24" s="12">
        <v>200</v>
      </c>
      <c r="J24" s="11">
        <v>320</v>
      </c>
      <c r="K24" s="11">
        <v>250</v>
      </c>
      <c r="L24" s="12">
        <v>160</v>
      </c>
      <c r="M24" s="11">
        <v>230</v>
      </c>
      <c r="N24" s="11">
        <v>150</v>
      </c>
      <c r="O24" s="6">
        <f>AVERAGE(C24:N24)</f>
        <v>381.66666666666669</v>
      </c>
      <c r="P24" s="9">
        <f>MIN(C24:N24)</f>
        <v>150</v>
      </c>
      <c r="Q24" s="22">
        <v>30</v>
      </c>
    </row>
    <row r="25" spans="1:17">
      <c r="A25" s="4"/>
      <c r="B25" s="15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7"/>
      <c r="P25" s="10"/>
      <c r="Q25" s="23"/>
    </row>
    <row r="26" spans="1:17">
      <c r="C26" s="8">
        <f t="shared" ref="C26:N26" si="0">SUM(C6:C25)</f>
        <v>12000</v>
      </c>
      <c r="D26" s="8">
        <f t="shared" si="0"/>
        <v>6800</v>
      </c>
      <c r="E26" s="8">
        <f t="shared" si="0"/>
        <v>6400</v>
      </c>
      <c r="F26" s="8">
        <f t="shared" si="0"/>
        <v>5300</v>
      </c>
      <c r="G26" s="8">
        <f t="shared" si="0"/>
        <v>4980</v>
      </c>
      <c r="H26" s="8">
        <f t="shared" si="0"/>
        <v>4800</v>
      </c>
      <c r="I26" s="8">
        <f t="shared" si="0"/>
        <v>4400</v>
      </c>
      <c r="J26" s="8">
        <f>SUM(J6:J25)</f>
        <v>4440</v>
      </c>
      <c r="K26" s="8">
        <f>SUM(K6:K25)</f>
        <v>3400</v>
      </c>
      <c r="L26" s="8">
        <f t="shared" si="0"/>
        <v>2960</v>
      </c>
      <c r="M26" s="8">
        <f>SUM(M6:M25)</f>
        <v>2660</v>
      </c>
      <c r="N26" s="8">
        <f t="shared" si="0"/>
        <v>2050</v>
      </c>
      <c r="O26" s="8">
        <f>SUM(O6:O25)</f>
        <v>5015.8333333333339</v>
      </c>
    </row>
  </sheetData>
  <mergeCells count="5">
    <mergeCell ref="P3:Q3"/>
    <mergeCell ref="B4:B5"/>
    <mergeCell ref="O4:O5"/>
    <mergeCell ref="P4:P5"/>
    <mergeCell ref="Q4:Q5"/>
  </mergeCells>
  <pageMargins left="0.31496062992125984" right="0.31496062992125984" top="0.74803149606299213" bottom="0.74803149606299213" header="0.31496062992125984" footer="0.31496062992125984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2C7A-AFCD-4E7D-8E92-B2C9AD7B6B24}">
  <sheetPr>
    <pageSetUpPr fitToPage="1"/>
  </sheetPr>
  <dimension ref="A1:R35"/>
  <sheetViews>
    <sheetView showGridLines="0" tabSelected="1" topLeftCell="A24" zoomScale="90" zoomScaleNormal="90" workbookViewId="0">
      <selection activeCell="B29" sqref="B29"/>
    </sheetView>
  </sheetViews>
  <sheetFormatPr defaultRowHeight="21.2"/>
  <cols>
    <col min="1" max="1" width="4.25" style="1" customWidth="1"/>
    <col min="2" max="2" width="41.875" bestFit="1" customWidth="1"/>
    <col min="3" max="3" width="13.875" style="2" customWidth="1"/>
    <col min="4" max="8" width="13.625" customWidth="1"/>
    <col min="9" max="9" width="13.625" style="1" customWidth="1"/>
    <col min="10" max="15" width="13.625" customWidth="1"/>
    <col min="16" max="16" width="9.625" customWidth="1"/>
    <col min="17" max="17" width="11" customWidth="1"/>
    <col min="18" max="18" width="12" customWidth="1"/>
  </cols>
  <sheetData>
    <row r="1" spans="1:18" ht="35.450000000000003" customHeight="1">
      <c r="A1" s="21" t="s">
        <v>31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5.9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>
      <c r="C3" s="19" t="s">
        <v>2</v>
      </c>
      <c r="D3" s="20">
        <v>2</v>
      </c>
      <c r="E3" s="20">
        <v>3</v>
      </c>
      <c r="F3" s="20">
        <v>4</v>
      </c>
      <c r="G3" s="20">
        <v>5</v>
      </c>
      <c r="H3" s="20">
        <v>6</v>
      </c>
      <c r="I3" s="20">
        <v>7</v>
      </c>
      <c r="J3" s="20">
        <v>8</v>
      </c>
      <c r="K3" s="20">
        <v>9</v>
      </c>
      <c r="L3" s="20">
        <v>10</v>
      </c>
      <c r="M3" s="20">
        <v>11</v>
      </c>
      <c r="N3" s="20">
        <v>12</v>
      </c>
      <c r="O3" s="20">
        <v>13</v>
      </c>
      <c r="P3" s="1"/>
      <c r="Q3" s="46" t="s">
        <v>32</v>
      </c>
      <c r="R3" s="46"/>
    </row>
    <row r="4" spans="1:18" ht="30.2" customHeight="1">
      <c r="A4" s="26"/>
      <c r="B4" s="47" t="s">
        <v>4</v>
      </c>
      <c r="C4" s="27" t="s">
        <v>5</v>
      </c>
      <c r="D4" s="27" t="s">
        <v>5</v>
      </c>
      <c r="E4" s="27" t="s">
        <v>5</v>
      </c>
      <c r="F4" s="27" t="s">
        <v>5</v>
      </c>
      <c r="G4" s="27" t="s">
        <v>5</v>
      </c>
      <c r="H4" s="27" t="s">
        <v>5</v>
      </c>
      <c r="I4" s="27" t="s">
        <v>5</v>
      </c>
      <c r="J4" s="27" t="s">
        <v>5</v>
      </c>
      <c r="K4" s="27" t="s">
        <v>5</v>
      </c>
      <c r="L4" s="27" t="s">
        <v>5</v>
      </c>
      <c r="M4" s="27" t="s">
        <v>5</v>
      </c>
      <c r="N4" s="27" t="s">
        <v>5</v>
      </c>
      <c r="O4" s="27" t="s">
        <v>5</v>
      </c>
      <c r="P4" s="40" t="s">
        <v>6</v>
      </c>
      <c r="Q4" s="42" t="s">
        <v>7</v>
      </c>
      <c r="R4" s="44" t="s">
        <v>8</v>
      </c>
    </row>
    <row r="5" spans="1:18" ht="24">
      <c r="A5" s="28"/>
      <c r="B5" s="48"/>
      <c r="C5" s="27" t="s">
        <v>9</v>
      </c>
      <c r="D5" s="35" t="s">
        <v>11</v>
      </c>
      <c r="E5" s="35" t="s">
        <v>10</v>
      </c>
      <c r="F5" s="35" t="s">
        <v>12</v>
      </c>
      <c r="G5" s="36" t="s">
        <v>13</v>
      </c>
      <c r="H5" s="35" t="s">
        <v>14</v>
      </c>
      <c r="I5" s="35" t="s">
        <v>15</v>
      </c>
      <c r="J5" s="35" t="s">
        <v>16</v>
      </c>
      <c r="K5" s="35" t="s">
        <v>17</v>
      </c>
      <c r="L5" s="35" t="s">
        <v>20</v>
      </c>
      <c r="M5" s="35" t="s">
        <v>18</v>
      </c>
      <c r="N5" s="35" t="s">
        <v>19</v>
      </c>
      <c r="O5" s="35" t="s">
        <v>33</v>
      </c>
      <c r="P5" s="41"/>
      <c r="Q5" s="43"/>
      <c r="R5" s="45"/>
    </row>
    <row r="6" spans="1:18">
      <c r="A6" s="3">
        <v>1</v>
      </c>
      <c r="B6" s="32" t="s">
        <v>21</v>
      </c>
      <c r="C6" s="11">
        <v>2000</v>
      </c>
      <c r="D6" s="11">
        <v>1200</v>
      </c>
      <c r="E6" s="11">
        <v>1000</v>
      </c>
      <c r="F6" s="12">
        <v>600</v>
      </c>
      <c r="G6" s="12">
        <v>720</v>
      </c>
      <c r="H6" s="11">
        <v>600</v>
      </c>
      <c r="I6" s="12">
        <v>800</v>
      </c>
      <c r="J6" s="11">
        <v>600</v>
      </c>
      <c r="K6" s="11">
        <v>500</v>
      </c>
      <c r="L6" s="11">
        <v>500</v>
      </c>
      <c r="M6" s="12">
        <v>500</v>
      </c>
      <c r="N6" s="11"/>
      <c r="O6" s="11">
        <v>200</v>
      </c>
      <c r="P6" s="6">
        <f>AVERAGE(C6:O6)</f>
        <v>768.33333333333337</v>
      </c>
      <c r="Q6" s="9">
        <f>MIN(C6:O6)</f>
        <v>200</v>
      </c>
      <c r="R6" s="22">
        <v>1000</v>
      </c>
    </row>
    <row r="7" spans="1:18">
      <c r="A7" s="4"/>
      <c r="B7" s="15"/>
      <c r="C7" s="29">
        <v>2000</v>
      </c>
      <c r="D7" s="30">
        <v>1000</v>
      </c>
      <c r="E7" s="30">
        <v>1000</v>
      </c>
      <c r="F7" s="30">
        <v>600</v>
      </c>
      <c r="G7" s="30">
        <v>720</v>
      </c>
      <c r="H7" s="30">
        <v>800</v>
      </c>
      <c r="I7" s="30">
        <v>800</v>
      </c>
      <c r="J7" s="30">
        <v>600</v>
      </c>
      <c r="K7" s="30">
        <v>600</v>
      </c>
      <c r="L7" s="30">
        <v>300</v>
      </c>
      <c r="M7" s="30">
        <v>660</v>
      </c>
      <c r="N7" s="30">
        <v>350</v>
      </c>
      <c r="O7" s="30"/>
      <c r="P7" s="7"/>
      <c r="Q7" s="10"/>
      <c r="R7" s="23"/>
    </row>
    <row r="8" spans="1:18">
      <c r="A8" s="3">
        <v>2</v>
      </c>
      <c r="B8" s="32" t="s">
        <v>22</v>
      </c>
      <c r="C8" s="11">
        <v>2000</v>
      </c>
      <c r="D8" s="11">
        <v>1200</v>
      </c>
      <c r="E8" s="11">
        <v>1000</v>
      </c>
      <c r="F8" s="12">
        <v>600</v>
      </c>
      <c r="G8" s="12">
        <v>720</v>
      </c>
      <c r="H8" s="11">
        <v>600</v>
      </c>
      <c r="I8" s="12">
        <v>800</v>
      </c>
      <c r="J8" s="11">
        <v>600</v>
      </c>
      <c r="K8" s="11">
        <v>500</v>
      </c>
      <c r="L8" s="11">
        <v>300</v>
      </c>
      <c r="M8" s="12">
        <v>500</v>
      </c>
      <c r="N8" s="11"/>
      <c r="O8" s="11" t="s">
        <v>34</v>
      </c>
      <c r="P8" s="6">
        <f>AVERAGE(C8:N8)</f>
        <v>801.81818181818187</v>
      </c>
      <c r="Q8" s="9">
        <f>MIN(C8:O8)</f>
        <v>300</v>
      </c>
      <c r="R8" s="22">
        <v>200</v>
      </c>
    </row>
    <row r="9" spans="1:18">
      <c r="A9" s="4"/>
      <c r="B9" s="15"/>
      <c r="C9" s="29">
        <v>2000</v>
      </c>
      <c r="D9" s="30">
        <v>1000</v>
      </c>
      <c r="E9" s="30">
        <v>1000</v>
      </c>
      <c r="F9" s="30">
        <v>600</v>
      </c>
      <c r="G9" s="30">
        <v>720</v>
      </c>
      <c r="H9" s="30">
        <v>800</v>
      </c>
      <c r="I9" s="30">
        <v>800</v>
      </c>
      <c r="J9" s="30">
        <v>600</v>
      </c>
      <c r="K9" s="30">
        <v>600</v>
      </c>
      <c r="L9" s="30">
        <v>300</v>
      </c>
      <c r="M9" s="30">
        <v>660</v>
      </c>
      <c r="N9" s="30">
        <v>350</v>
      </c>
      <c r="O9" s="31" t="s">
        <v>35</v>
      </c>
      <c r="P9" s="7"/>
      <c r="Q9" s="10"/>
      <c r="R9" s="23"/>
    </row>
    <row r="10" spans="1:18">
      <c r="A10" s="3">
        <v>3</v>
      </c>
      <c r="B10" s="32" t="s">
        <v>23</v>
      </c>
      <c r="C10" s="11">
        <v>1000</v>
      </c>
      <c r="D10" s="11">
        <v>700</v>
      </c>
      <c r="E10" s="12">
        <v>600</v>
      </c>
      <c r="F10" s="12">
        <v>600</v>
      </c>
      <c r="G10" s="12">
        <v>480</v>
      </c>
      <c r="H10" s="11">
        <v>450</v>
      </c>
      <c r="I10" s="12">
        <v>500</v>
      </c>
      <c r="J10" s="11">
        <v>500</v>
      </c>
      <c r="K10" s="11">
        <v>400</v>
      </c>
      <c r="L10" s="11">
        <v>250</v>
      </c>
      <c r="M10" s="12">
        <v>240</v>
      </c>
      <c r="N10" s="11"/>
      <c r="O10" s="11">
        <v>250</v>
      </c>
      <c r="P10" s="6">
        <f>AVERAGE(C10:O10)</f>
        <v>497.5</v>
      </c>
      <c r="Q10" s="9">
        <f>MIN(C10:O10)</f>
        <v>240</v>
      </c>
      <c r="R10" s="22">
        <v>350</v>
      </c>
    </row>
    <row r="11" spans="1:18">
      <c r="A11" s="4"/>
      <c r="B11" s="15"/>
      <c r="C11" s="29">
        <v>1000</v>
      </c>
      <c r="D11" s="30">
        <v>600</v>
      </c>
      <c r="E11" s="30">
        <v>600</v>
      </c>
      <c r="F11" s="30">
        <v>600</v>
      </c>
      <c r="G11" s="30">
        <v>480</v>
      </c>
      <c r="H11" s="30">
        <v>400</v>
      </c>
      <c r="I11" s="30">
        <v>500</v>
      </c>
      <c r="J11" s="30">
        <v>500</v>
      </c>
      <c r="K11" s="30">
        <v>300</v>
      </c>
      <c r="L11" s="30">
        <v>200</v>
      </c>
      <c r="M11" s="30">
        <v>240</v>
      </c>
      <c r="N11" s="30">
        <v>270</v>
      </c>
      <c r="O11" s="30"/>
      <c r="P11" s="7"/>
      <c r="Q11" s="10"/>
      <c r="R11" s="23"/>
    </row>
    <row r="12" spans="1:18">
      <c r="A12" s="3">
        <v>4</v>
      </c>
      <c r="B12" s="32" t="s">
        <v>24</v>
      </c>
      <c r="C12" s="11">
        <v>1000</v>
      </c>
      <c r="D12" s="11">
        <v>700</v>
      </c>
      <c r="E12" s="12">
        <v>600</v>
      </c>
      <c r="F12" s="12">
        <v>500</v>
      </c>
      <c r="G12" s="12">
        <v>480</v>
      </c>
      <c r="H12" s="11">
        <v>450</v>
      </c>
      <c r="I12" s="12">
        <v>400</v>
      </c>
      <c r="J12" s="11">
        <v>450</v>
      </c>
      <c r="K12" s="11">
        <v>400</v>
      </c>
      <c r="L12" s="11">
        <v>250</v>
      </c>
      <c r="M12" s="12">
        <v>240</v>
      </c>
      <c r="N12" s="11"/>
      <c r="O12" s="11">
        <v>250</v>
      </c>
      <c r="P12" s="6">
        <f>AVERAGE(C12:O12)</f>
        <v>476.66666666666669</v>
      </c>
      <c r="Q12" s="9">
        <f>MIN(C12:O12)</f>
        <v>240</v>
      </c>
      <c r="R12" s="22">
        <v>450</v>
      </c>
    </row>
    <row r="13" spans="1:18">
      <c r="A13" s="4"/>
      <c r="B13" s="15"/>
      <c r="C13" s="29">
        <v>1000</v>
      </c>
      <c r="D13" s="30">
        <v>600</v>
      </c>
      <c r="E13" s="30">
        <v>600</v>
      </c>
      <c r="F13" s="30">
        <v>500</v>
      </c>
      <c r="G13" s="30">
        <v>480</v>
      </c>
      <c r="H13" s="30">
        <v>400</v>
      </c>
      <c r="I13" s="30">
        <v>400</v>
      </c>
      <c r="J13" s="30">
        <v>450</v>
      </c>
      <c r="K13" s="30">
        <v>300</v>
      </c>
      <c r="L13" s="30">
        <v>200</v>
      </c>
      <c r="M13" s="30">
        <v>240</v>
      </c>
      <c r="N13" s="30">
        <v>270</v>
      </c>
      <c r="O13" s="30"/>
      <c r="P13" s="7"/>
      <c r="Q13" s="10"/>
      <c r="R13" s="23"/>
    </row>
    <row r="14" spans="1:18">
      <c r="A14" s="3">
        <v>5</v>
      </c>
      <c r="B14" s="32" t="s">
        <v>25</v>
      </c>
      <c r="C14" s="11">
        <v>1000</v>
      </c>
      <c r="D14" s="11">
        <v>700</v>
      </c>
      <c r="E14" s="12">
        <v>600</v>
      </c>
      <c r="F14" s="12">
        <v>500</v>
      </c>
      <c r="G14" s="12">
        <v>480</v>
      </c>
      <c r="H14" s="11">
        <v>400</v>
      </c>
      <c r="I14" s="12">
        <v>300</v>
      </c>
      <c r="J14" s="11">
        <v>400</v>
      </c>
      <c r="K14" s="11">
        <v>300</v>
      </c>
      <c r="L14" s="11">
        <v>250</v>
      </c>
      <c r="M14" s="12">
        <v>240</v>
      </c>
      <c r="N14" s="11"/>
      <c r="O14" s="11">
        <v>250</v>
      </c>
      <c r="P14" s="6">
        <f>AVERAGE(C14:O14)</f>
        <v>451.66666666666669</v>
      </c>
      <c r="Q14" s="9">
        <f>MIN(C14:O14)</f>
        <v>240</v>
      </c>
      <c r="R14" s="22">
        <v>290</v>
      </c>
    </row>
    <row r="15" spans="1:18">
      <c r="A15" s="4"/>
      <c r="B15" s="15"/>
      <c r="C15" s="29">
        <v>1000</v>
      </c>
      <c r="D15" s="30">
        <v>600</v>
      </c>
      <c r="E15" s="30">
        <v>600</v>
      </c>
      <c r="F15" s="30">
        <v>500</v>
      </c>
      <c r="G15" s="30">
        <v>480</v>
      </c>
      <c r="H15" s="30">
        <v>400</v>
      </c>
      <c r="I15" s="30">
        <v>300</v>
      </c>
      <c r="J15" s="30">
        <v>400</v>
      </c>
      <c r="K15" s="30">
        <v>250</v>
      </c>
      <c r="L15" s="30">
        <v>200</v>
      </c>
      <c r="M15" s="30">
        <v>240</v>
      </c>
      <c r="N15" s="30">
        <v>270</v>
      </c>
      <c r="O15" s="30"/>
      <c r="P15" s="7"/>
      <c r="Q15" s="10"/>
      <c r="R15" s="23"/>
    </row>
    <row r="16" spans="1:18">
      <c r="A16" s="5">
        <v>6</v>
      </c>
      <c r="B16" s="32" t="s">
        <v>26</v>
      </c>
      <c r="C16" s="11">
        <v>1000</v>
      </c>
      <c r="D16" s="11">
        <v>500</v>
      </c>
      <c r="E16" s="12">
        <v>600</v>
      </c>
      <c r="F16" s="12">
        <v>450</v>
      </c>
      <c r="G16" s="12">
        <v>420</v>
      </c>
      <c r="H16" s="11">
        <v>400</v>
      </c>
      <c r="I16" s="12">
        <v>220</v>
      </c>
      <c r="J16" s="11">
        <v>360</v>
      </c>
      <c r="K16" s="11">
        <v>300</v>
      </c>
      <c r="L16" s="11">
        <v>250</v>
      </c>
      <c r="M16" s="12">
        <v>160</v>
      </c>
      <c r="N16" s="11"/>
      <c r="O16" s="11">
        <v>250</v>
      </c>
      <c r="P16" s="6">
        <f>AVERAGE(C16:O16)</f>
        <v>409.16666666666669</v>
      </c>
      <c r="Q16" s="9">
        <f>MIN(C16:O16)</f>
        <v>160</v>
      </c>
      <c r="R16" s="22">
        <v>150</v>
      </c>
    </row>
    <row r="17" spans="1:18">
      <c r="A17" s="5"/>
      <c r="B17" s="15"/>
      <c r="C17" s="29">
        <v>1000</v>
      </c>
      <c r="D17" s="30">
        <v>400</v>
      </c>
      <c r="E17" s="30">
        <v>600</v>
      </c>
      <c r="F17" s="30">
        <v>450</v>
      </c>
      <c r="G17" s="30">
        <v>420</v>
      </c>
      <c r="H17" s="30">
        <v>400</v>
      </c>
      <c r="I17" s="30">
        <v>200</v>
      </c>
      <c r="J17" s="30">
        <v>360</v>
      </c>
      <c r="K17" s="30">
        <v>250</v>
      </c>
      <c r="L17" s="30">
        <v>150</v>
      </c>
      <c r="M17" s="30">
        <v>160</v>
      </c>
      <c r="N17" s="30">
        <v>230</v>
      </c>
      <c r="O17" s="30"/>
      <c r="P17" s="7"/>
      <c r="Q17" s="10"/>
      <c r="R17" s="23"/>
    </row>
    <row r="18" spans="1:18">
      <c r="A18" s="3">
        <v>7</v>
      </c>
      <c r="B18" s="32" t="s">
        <v>27</v>
      </c>
      <c r="C18" s="11">
        <v>1000</v>
      </c>
      <c r="D18" s="11">
        <v>700</v>
      </c>
      <c r="E18" s="12">
        <v>600</v>
      </c>
      <c r="F18" s="12">
        <v>600</v>
      </c>
      <c r="G18" s="12">
        <v>420</v>
      </c>
      <c r="H18" s="11">
        <v>450</v>
      </c>
      <c r="I18" s="12">
        <v>500</v>
      </c>
      <c r="J18" s="11">
        <v>450</v>
      </c>
      <c r="K18" s="11">
        <v>300</v>
      </c>
      <c r="L18" s="11">
        <v>250</v>
      </c>
      <c r="M18" s="12">
        <v>220</v>
      </c>
      <c r="N18" s="11"/>
      <c r="O18" s="11" t="s">
        <v>34</v>
      </c>
      <c r="P18" s="6">
        <f>AVERAGE(C18:O18)</f>
        <v>499.09090909090907</v>
      </c>
      <c r="Q18" s="9">
        <f>MIN(C18:O18)</f>
        <v>220</v>
      </c>
      <c r="R18" s="22">
        <v>40</v>
      </c>
    </row>
    <row r="19" spans="1:18">
      <c r="A19" s="4"/>
      <c r="B19" s="15"/>
      <c r="C19" s="29">
        <v>1000</v>
      </c>
      <c r="D19" s="30">
        <v>600</v>
      </c>
      <c r="E19" s="30">
        <v>600</v>
      </c>
      <c r="F19" s="30">
        <v>600</v>
      </c>
      <c r="G19" s="30">
        <v>420</v>
      </c>
      <c r="H19" s="30">
        <v>400</v>
      </c>
      <c r="I19" s="30">
        <v>500</v>
      </c>
      <c r="J19" s="30">
        <v>450</v>
      </c>
      <c r="K19" s="30">
        <v>300</v>
      </c>
      <c r="L19" s="30">
        <v>200</v>
      </c>
      <c r="M19" s="30">
        <v>220</v>
      </c>
      <c r="N19" s="30">
        <v>230</v>
      </c>
      <c r="O19" s="31" t="s">
        <v>35</v>
      </c>
      <c r="P19" s="7"/>
      <c r="Q19" s="10"/>
      <c r="R19" s="23"/>
    </row>
    <row r="20" spans="1:18">
      <c r="A20" s="5">
        <v>8</v>
      </c>
      <c r="B20" s="32" t="s">
        <v>28</v>
      </c>
      <c r="C20" s="11">
        <v>1000</v>
      </c>
      <c r="D20" s="11">
        <v>700</v>
      </c>
      <c r="E20" s="12">
        <v>600</v>
      </c>
      <c r="F20" s="12">
        <v>500</v>
      </c>
      <c r="G20" s="12">
        <v>420</v>
      </c>
      <c r="H20" s="11">
        <v>450</v>
      </c>
      <c r="I20" s="12">
        <v>400</v>
      </c>
      <c r="J20" s="11">
        <v>400</v>
      </c>
      <c r="K20" s="11">
        <v>300</v>
      </c>
      <c r="L20" s="11">
        <v>250</v>
      </c>
      <c r="M20" s="12">
        <v>200</v>
      </c>
      <c r="N20" s="11"/>
      <c r="O20" s="11" t="s">
        <v>36</v>
      </c>
      <c r="P20" s="6">
        <f>AVERAGE(C20:O20)</f>
        <v>474.54545454545456</v>
      </c>
      <c r="Q20" s="9">
        <f>MIN(C20:O20)</f>
        <v>200</v>
      </c>
      <c r="R20" s="22">
        <v>60</v>
      </c>
    </row>
    <row r="21" spans="1:18">
      <c r="A21" s="5"/>
      <c r="B21" s="15"/>
      <c r="C21" s="29">
        <v>1000</v>
      </c>
      <c r="D21" s="30">
        <v>600</v>
      </c>
      <c r="E21" s="30">
        <v>600</v>
      </c>
      <c r="F21" s="30">
        <v>500</v>
      </c>
      <c r="G21" s="30">
        <v>420</v>
      </c>
      <c r="H21" s="30">
        <v>400</v>
      </c>
      <c r="I21" s="30">
        <v>400</v>
      </c>
      <c r="J21" s="30">
        <v>400</v>
      </c>
      <c r="K21" s="30">
        <v>300</v>
      </c>
      <c r="L21" s="30">
        <v>200</v>
      </c>
      <c r="M21" s="30">
        <v>200</v>
      </c>
      <c r="N21" s="30">
        <v>230</v>
      </c>
      <c r="O21" s="30"/>
      <c r="P21" s="7"/>
      <c r="Q21" s="10"/>
      <c r="R21" s="23"/>
    </row>
    <row r="22" spans="1:18">
      <c r="A22" s="3">
        <v>9</v>
      </c>
      <c r="B22" s="32" t="s">
        <v>29</v>
      </c>
      <c r="C22" s="11">
        <v>1000</v>
      </c>
      <c r="D22" s="11">
        <v>700</v>
      </c>
      <c r="E22" s="12">
        <v>600</v>
      </c>
      <c r="F22" s="12">
        <v>500</v>
      </c>
      <c r="G22" s="12">
        <v>420</v>
      </c>
      <c r="H22" s="11">
        <v>400</v>
      </c>
      <c r="I22" s="12">
        <v>300</v>
      </c>
      <c r="J22" s="11">
        <v>360</v>
      </c>
      <c r="K22" s="11">
        <v>300</v>
      </c>
      <c r="L22" s="11">
        <v>250</v>
      </c>
      <c r="M22" s="12">
        <v>180</v>
      </c>
      <c r="N22" s="11"/>
      <c r="O22" s="11" t="s">
        <v>36</v>
      </c>
      <c r="P22" s="6">
        <f>AVERAGE(C22:N22)</f>
        <v>455.45454545454544</v>
      </c>
      <c r="Q22" s="9">
        <f>MIN(C22:O22)</f>
        <v>180</v>
      </c>
      <c r="R22" s="22">
        <v>40</v>
      </c>
    </row>
    <row r="23" spans="1:18">
      <c r="A23" s="4"/>
      <c r="B23" s="15"/>
      <c r="C23" s="29">
        <v>1000</v>
      </c>
      <c r="D23" s="30">
        <v>600</v>
      </c>
      <c r="E23" s="30">
        <v>600</v>
      </c>
      <c r="F23" s="30">
        <v>500</v>
      </c>
      <c r="G23" s="30">
        <v>420</v>
      </c>
      <c r="H23" s="30">
        <v>400</v>
      </c>
      <c r="I23" s="30">
        <v>300</v>
      </c>
      <c r="J23" s="30">
        <v>360</v>
      </c>
      <c r="K23" s="30">
        <v>250</v>
      </c>
      <c r="L23" s="30">
        <v>150</v>
      </c>
      <c r="M23" s="30">
        <v>180</v>
      </c>
      <c r="N23" s="30">
        <v>230</v>
      </c>
      <c r="O23" s="31" t="s">
        <v>35</v>
      </c>
      <c r="P23" s="7"/>
      <c r="Q23" s="10"/>
      <c r="R23" s="23"/>
    </row>
    <row r="24" spans="1:18">
      <c r="A24" s="5">
        <v>10</v>
      </c>
      <c r="B24" s="32" t="s">
        <v>30</v>
      </c>
      <c r="C24" s="11">
        <v>1000</v>
      </c>
      <c r="D24" s="11">
        <v>500</v>
      </c>
      <c r="E24" s="12">
        <v>600</v>
      </c>
      <c r="F24" s="12">
        <v>450</v>
      </c>
      <c r="G24" s="12">
        <v>420</v>
      </c>
      <c r="H24" s="11">
        <v>400</v>
      </c>
      <c r="I24" s="12">
        <v>220</v>
      </c>
      <c r="J24" s="11">
        <v>320</v>
      </c>
      <c r="K24" s="11">
        <v>300</v>
      </c>
      <c r="L24" s="11">
        <v>250</v>
      </c>
      <c r="M24" s="12">
        <v>160</v>
      </c>
      <c r="N24" s="11"/>
      <c r="O24" s="11" t="s">
        <v>36</v>
      </c>
      <c r="P24" s="6">
        <f>AVERAGE(C24:N24)</f>
        <v>420</v>
      </c>
      <c r="Q24" s="9">
        <f>MIN(C24:O24)</f>
        <v>160</v>
      </c>
      <c r="R24" s="22">
        <v>20</v>
      </c>
    </row>
    <row r="25" spans="1:18">
      <c r="A25" s="4"/>
      <c r="B25" s="15"/>
      <c r="C25" s="29">
        <v>1000</v>
      </c>
      <c r="D25" s="30">
        <v>400</v>
      </c>
      <c r="E25" s="30">
        <v>600</v>
      </c>
      <c r="F25" s="30">
        <v>450</v>
      </c>
      <c r="G25" s="30">
        <v>420</v>
      </c>
      <c r="H25" s="30">
        <v>400</v>
      </c>
      <c r="I25" s="30">
        <v>200</v>
      </c>
      <c r="J25" s="30">
        <v>320</v>
      </c>
      <c r="K25" s="30">
        <v>250</v>
      </c>
      <c r="L25" s="30">
        <v>150</v>
      </c>
      <c r="M25" s="30">
        <v>160</v>
      </c>
      <c r="N25" s="30">
        <v>230</v>
      </c>
      <c r="O25" s="31" t="s">
        <v>35</v>
      </c>
      <c r="P25" s="7"/>
      <c r="Q25" s="10"/>
      <c r="R25" s="23"/>
    </row>
    <row r="26" spans="1:18">
      <c r="C26" s="8">
        <f>SUM(C6:C25)</f>
        <v>24000</v>
      </c>
      <c r="D26" s="8">
        <f>SUM(D6:D25)</f>
        <v>14000</v>
      </c>
      <c r="E26" s="8">
        <f>SUM(E6:E25)</f>
        <v>13600</v>
      </c>
      <c r="F26" s="8">
        <f>SUM(F6:F25)</f>
        <v>10600</v>
      </c>
      <c r="G26" s="8">
        <f>SUM(G6:G25)</f>
        <v>9960</v>
      </c>
      <c r="H26" s="8">
        <f>SUM(H6:H25)</f>
        <v>9400</v>
      </c>
      <c r="I26" s="8">
        <f>SUM(I6:I25)</f>
        <v>8840</v>
      </c>
      <c r="J26" s="8">
        <f>SUM(J6:J25)</f>
        <v>8880</v>
      </c>
      <c r="K26" s="8">
        <f>SUM(K6:K25)</f>
        <v>7000</v>
      </c>
      <c r="L26" s="8">
        <f>SUM(L6:L25)</f>
        <v>4850</v>
      </c>
      <c r="M26" s="8">
        <f>SUM(M6:M25)</f>
        <v>5600</v>
      </c>
      <c r="N26" s="8">
        <f>SUM(N6:N25)</f>
        <v>2660</v>
      </c>
      <c r="O26" s="8">
        <f>SUM(O6:O25)</f>
        <v>1200</v>
      </c>
      <c r="P26" s="8">
        <f>SUM(P6:P25)</f>
        <v>5254.2424242424231</v>
      </c>
    </row>
    <row r="28" spans="1:18">
      <c r="A28" s="3">
        <v>11</v>
      </c>
      <c r="B28" s="32" t="s">
        <v>37</v>
      </c>
      <c r="C28" s="11">
        <v>1000</v>
      </c>
      <c r="D28" s="11">
        <v>700</v>
      </c>
      <c r="E28" s="12">
        <v>600</v>
      </c>
      <c r="F28" s="12">
        <v>500</v>
      </c>
      <c r="G28" s="12">
        <v>400</v>
      </c>
      <c r="H28" s="11">
        <v>500</v>
      </c>
      <c r="I28" s="12">
        <v>300</v>
      </c>
      <c r="J28" s="11">
        <v>400</v>
      </c>
      <c r="K28" s="11">
        <v>200</v>
      </c>
      <c r="L28" s="11">
        <v>200</v>
      </c>
      <c r="M28" s="12">
        <v>200</v>
      </c>
      <c r="N28" s="11"/>
      <c r="O28" s="11" t="s">
        <v>36</v>
      </c>
      <c r="P28" s="6">
        <f>AVERAGE(C28:N28)</f>
        <v>454.54545454545456</v>
      </c>
      <c r="Q28" s="9">
        <f>MIN(C28:O28)</f>
        <v>200</v>
      </c>
      <c r="R28" s="22">
        <v>70</v>
      </c>
    </row>
    <row r="29" spans="1:18">
      <c r="A29" s="4"/>
      <c r="B29" s="15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31" t="s">
        <v>35</v>
      </c>
      <c r="P29" s="7"/>
      <c r="Q29" s="10"/>
      <c r="R29" s="23"/>
    </row>
    <row r="30" spans="1:18">
      <c r="A30" s="5">
        <v>12</v>
      </c>
      <c r="B30" s="32" t="s">
        <v>38</v>
      </c>
      <c r="C30" s="11">
        <v>1000</v>
      </c>
      <c r="D30" s="11">
        <v>500</v>
      </c>
      <c r="E30" s="12">
        <v>600</v>
      </c>
      <c r="F30" s="12">
        <v>450</v>
      </c>
      <c r="G30" s="12">
        <v>400</v>
      </c>
      <c r="H30" s="11">
        <v>450</v>
      </c>
      <c r="I30" s="12">
        <v>220</v>
      </c>
      <c r="J30" s="11">
        <v>360</v>
      </c>
      <c r="K30" s="11">
        <v>200</v>
      </c>
      <c r="L30" s="11">
        <v>200</v>
      </c>
      <c r="M30" s="12">
        <v>180</v>
      </c>
      <c r="N30" s="11"/>
      <c r="O30" s="11" t="s">
        <v>36</v>
      </c>
      <c r="P30" s="6">
        <f>AVERAGE(C30:N30)</f>
        <v>414.54545454545456</v>
      </c>
      <c r="Q30" s="9">
        <f>MIN(C30:O30)</f>
        <v>180</v>
      </c>
      <c r="R30" s="22">
        <v>60</v>
      </c>
    </row>
    <row r="31" spans="1:18">
      <c r="A31" s="5"/>
      <c r="B31" s="15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31" t="s">
        <v>35</v>
      </c>
      <c r="P31" s="7"/>
      <c r="Q31" s="10"/>
      <c r="R31" s="23"/>
    </row>
    <row r="32" spans="1:18">
      <c r="A32" s="3">
        <v>13</v>
      </c>
      <c r="B32" s="32" t="s">
        <v>39</v>
      </c>
      <c r="C32" s="11">
        <v>1000</v>
      </c>
      <c r="D32" s="11">
        <v>700</v>
      </c>
      <c r="E32" s="12">
        <v>600</v>
      </c>
      <c r="F32" s="12">
        <v>500</v>
      </c>
      <c r="G32" s="12">
        <v>380</v>
      </c>
      <c r="H32" s="11">
        <v>500</v>
      </c>
      <c r="I32" s="12">
        <v>300</v>
      </c>
      <c r="J32" s="11">
        <v>360</v>
      </c>
      <c r="K32" s="11">
        <v>200</v>
      </c>
      <c r="L32" s="11">
        <v>200</v>
      </c>
      <c r="M32" s="12">
        <v>160</v>
      </c>
      <c r="N32" s="11"/>
      <c r="O32" s="11" t="s">
        <v>36</v>
      </c>
      <c r="P32" s="6">
        <f>AVERAGE(C32:N32)</f>
        <v>445.45454545454544</v>
      </c>
      <c r="Q32" s="9">
        <f>MIN(C32:O32)</f>
        <v>160</v>
      </c>
      <c r="R32" s="22">
        <v>10</v>
      </c>
    </row>
    <row r="33" spans="1:18">
      <c r="A33" s="4"/>
      <c r="B33" s="15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31" t="s">
        <v>35</v>
      </c>
      <c r="P33" s="7"/>
      <c r="Q33" s="10"/>
      <c r="R33" s="23"/>
    </row>
    <row r="34" spans="1:18">
      <c r="A34" s="5">
        <v>14</v>
      </c>
      <c r="B34" s="32" t="s">
        <v>40</v>
      </c>
      <c r="C34" s="11">
        <v>1000</v>
      </c>
      <c r="D34" s="11">
        <v>500</v>
      </c>
      <c r="E34" s="12">
        <v>600</v>
      </c>
      <c r="F34" s="12">
        <v>450</v>
      </c>
      <c r="G34" s="12">
        <v>380</v>
      </c>
      <c r="H34" s="11">
        <v>450</v>
      </c>
      <c r="I34" s="12">
        <v>220</v>
      </c>
      <c r="J34" s="11">
        <v>320</v>
      </c>
      <c r="K34" s="11">
        <v>200</v>
      </c>
      <c r="L34" s="11">
        <v>200</v>
      </c>
      <c r="M34" s="12">
        <v>140</v>
      </c>
      <c r="N34" s="11"/>
      <c r="O34" s="11" t="s">
        <v>36</v>
      </c>
      <c r="P34" s="6">
        <f>AVERAGE(C34:N34)</f>
        <v>405.45454545454544</v>
      </c>
      <c r="Q34" s="9">
        <f>MIN(C34:O34)</f>
        <v>140</v>
      </c>
      <c r="R34" s="22">
        <v>10</v>
      </c>
    </row>
    <row r="35" spans="1:18">
      <c r="A35" s="4"/>
      <c r="B35" s="15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31" t="s">
        <v>35</v>
      </c>
      <c r="P35" s="7"/>
      <c r="Q35" s="10"/>
      <c r="R35" s="23"/>
    </row>
  </sheetData>
  <mergeCells count="5">
    <mergeCell ref="Q3:R3"/>
    <mergeCell ref="R4:R5"/>
    <mergeCell ref="Q4:Q5"/>
    <mergeCell ref="B4:B5"/>
    <mergeCell ref="P4:P5"/>
  </mergeCells>
  <pageMargins left="0.31496062992125984" right="0.31496062992125984" top="0.74803149606299213" bottom="0.74803149606299213" header="0.31496062992125984" footer="0.31496062992125984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nataporn chaiyalapo</dc:creator>
  <cp:keywords/>
  <dc:description/>
  <cp:lastModifiedBy>Nataporn Chaiyalapho</cp:lastModifiedBy>
  <cp:revision/>
  <dcterms:created xsi:type="dcterms:W3CDTF">2023-06-08T07:31:31Z</dcterms:created>
  <dcterms:modified xsi:type="dcterms:W3CDTF">2026-05-15T04:28:56Z</dcterms:modified>
  <cp:category/>
  <cp:contentStatus/>
</cp:coreProperties>
</file>